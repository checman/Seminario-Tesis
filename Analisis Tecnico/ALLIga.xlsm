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rgio\Desktop\ARBITRAJE TRIANGULAR\DIVISAS\alligator\"/>
    </mc:Choice>
  </mc:AlternateContent>
  <bookViews>
    <workbookView xWindow="0" yWindow="0" windowWidth="20490" windowHeight="7365"/>
  </bookViews>
  <sheets>
    <sheet name="Listar Archivos" sheetId="2" r:id="rId1"/>
    <sheet name="Awesome Oscillator" sheetId="4" r:id="rId2"/>
    <sheet name="Accelerator Oscillator" sheetId="5" r:id="rId3"/>
    <sheet name="AO, AC Cálculos" sheetId="6" r:id="rId4"/>
    <sheet name="Alligator" sheetId="7" r:id="rId5"/>
    <sheet name="Cálculos Alligator" sheetId="11" r:id="rId6"/>
  </sheets>
  <externalReferences>
    <externalReference r:id="rId7"/>
  </externalReferences>
  <definedNames>
    <definedName name="ChartRange">OFFSET('Listar Archivos'!#REF!,1,0,COUNT('Listar Archivos'!$C:$C))</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48" i="11" l="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47"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39"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34" i="11"/>
  <c r="AQ23" i="11" l="1"/>
  <c r="AM23" i="11"/>
  <c r="AI23" i="11"/>
  <c r="AE23" i="11"/>
  <c r="AA23" i="11"/>
  <c r="W23" i="11"/>
  <c r="S23" i="11"/>
  <c r="O23" i="11"/>
  <c r="I5" i="11" l="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3" i="11"/>
  <c r="G4" i="11" l="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3" i="11"/>
  <c r="G47" i="6" l="1"/>
  <c r="G46" i="6"/>
  <c r="G45" i="6"/>
  <c r="G44" i="6"/>
  <c r="G43" i="6"/>
  <c r="H47" i="6" s="1"/>
  <c r="G42" i="6"/>
  <c r="G41" i="6"/>
  <c r="H45" i="6" s="1"/>
  <c r="G40" i="6"/>
  <c r="G39" i="6"/>
  <c r="G38" i="6"/>
  <c r="G37" i="6"/>
  <c r="G36" i="6"/>
  <c r="L36" i="6" s="1"/>
  <c r="G35" i="6"/>
  <c r="L35" i="6" s="1"/>
  <c r="G34" i="6"/>
  <c r="G33" i="6"/>
  <c r="L33" i="6" s="1"/>
  <c r="G32" i="6"/>
  <c r="L32" i="6" s="1"/>
  <c r="G31" i="6"/>
  <c r="L31" i="6" s="1"/>
  <c r="G30" i="6"/>
  <c r="G29" i="6"/>
  <c r="L29" i="6" s="1"/>
  <c r="G28" i="6"/>
  <c r="L28" i="6" s="1"/>
  <c r="L27" i="6"/>
  <c r="G27" i="6"/>
  <c r="G26" i="6"/>
  <c r="H30" i="6" s="1"/>
  <c r="L25" i="6"/>
  <c r="G25" i="6"/>
  <c r="G24" i="6"/>
  <c r="H28" i="6" s="1"/>
  <c r="L23" i="6"/>
  <c r="G23" i="6"/>
  <c r="G22" i="6"/>
  <c r="H26" i="6" s="1"/>
  <c r="L21" i="6"/>
  <c r="G21" i="6"/>
  <c r="G20" i="6"/>
  <c r="H24" i="6" s="1"/>
  <c r="L19" i="6"/>
  <c r="G19" i="6"/>
  <c r="G18" i="6"/>
  <c r="H22" i="6" s="1"/>
  <c r="L17" i="6"/>
  <c r="G17" i="6"/>
  <c r="G16" i="6"/>
  <c r="H20" i="6" s="1"/>
  <c r="L15" i="6"/>
  <c r="G15" i="6"/>
  <c r="G14" i="6"/>
  <c r="H18" i="6" s="1"/>
  <c r="L13" i="6"/>
  <c r="G13" i="6"/>
  <c r="G12" i="6"/>
  <c r="L11" i="6"/>
  <c r="G11" i="6"/>
  <c r="G10" i="6"/>
  <c r="H14" i="6" s="1"/>
  <c r="L9" i="6"/>
  <c r="G9" i="6"/>
  <c r="G8" i="6"/>
  <c r="L7" i="6"/>
  <c r="G7" i="6"/>
  <c r="G6" i="6"/>
  <c r="G5" i="6"/>
  <c r="H9" i="6" s="1"/>
  <c r="G4" i="6"/>
  <c r="I37" i="6" s="1"/>
  <c r="H38" i="6" l="1"/>
  <c r="J45" i="6"/>
  <c r="I39" i="6"/>
  <c r="I41" i="6"/>
  <c r="I45" i="6"/>
  <c r="H42" i="6"/>
  <c r="I44" i="6"/>
  <c r="L6" i="6"/>
  <c r="L8" i="6"/>
  <c r="L10" i="6"/>
  <c r="L12" i="6"/>
  <c r="L14" i="6"/>
  <c r="L16" i="6"/>
  <c r="L18" i="6"/>
  <c r="L20" i="6"/>
  <c r="L22" i="6"/>
  <c r="L24" i="6"/>
  <c r="L26" i="6"/>
  <c r="H41" i="6"/>
  <c r="H44" i="6"/>
  <c r="J44" i="6" s="1"/>
  <c r="H11" i="6"/>
  <c r="I42" i="6"/>
  <c r="H15" i="6"/>
  <c r="I46" i="6"/>
  <c r="H19" i="6"/>
  <c r="H21" i="6"/>
  <c r="H23" i="6"/>
  <c r="H25" i="6"/>
  <c r="H27" i="6"/>
  <c r="H29" i="6"/>
  <c r="H31" i="6"/>
  <c r="L30" i="6"/>
  <c r="L34" i="6"/>
  <c r="L38" i="6"/>
  <c r="H40" i="6"/>
  <c r="J40" i="6" s="1"/>
  <c r="J41" i="6"/>
  <c r="H43" i="6"/>
  <c r="L5" i="6"/>
  <c r="L37" i="6"/>
  <c r="I38" i="6"/>
  <c r="J38" i="6" s="1"/>
  <c r="L39" i="6"/>
  <c r="I40" i="6"/>
  <c r="I43" i="6"/>
  <c r="H46" i="6"/>
  <c r="I47" i="6"/>
  <c r="J47" i="6" s="1"/>
  <c r="L4" i="6"/>
  <c r="H8" i="6"/>
  <c r="H10" i="6"/>
  <c r="H12" i="6"/>
  <c r="H13" i="6"/>
  <c r="H16" i="6"/>
  <c r="H17" i="6"/>
  <c r="H32" i="6"/>
  <c r="H33" i="6"/>
  <c r="H34" i="6"/>
  <c r="H35" i="6"/>
  <c r="H36" i="6"/>
  <c r="H37" i="6"/>
  <c r="J37" i="6" s="1"/>
  <c r="H39" i="6"/>
  <c r="L40" i="6"/>
  <c r="J46" i="6" l="1"/>
  <c r="J39" i="6"/>
  <c r="K43" i="6" s="1"/>
  <c r="J42" i="6"/>
  <c r="K44" i="6" s="1"/>
  <c r="L44" i="6" s="1"/>
  <c r="K41" i="6"/>
  <c r="L41" i="6" s="1"/>
  <c r="J43" i="6"/>
  <c r="K42" i="6" l="1"/>
  <c r="L42" i="6" s="1"/>
  <c r="K45" i="6"/>
  <c r="L45" i="6" s="1"/>
  <c r="K47" i="6"/>
  <c r="L47" i="6" s="1"/>
  <c r="L43" i="6"/>
  <c r="K46" i="6"/>
  <c r="L46" i="6" s="1"/>
  <c r="M2" i="6" l="1"/>
  <c r="N2" i="6"/>
  <c r="O2" i="6" l="1"/>
  <c r="M45" i="6" s="1"/>
  <c r="M9" i="6" l="1"/>
  <c r="M25" i="6"/>
  <c r="M31" i="6"/>
  <c r="M42" i="6"/>
  <c r="M15" i="6"/>
  <c r="M33" i="6"/>
  <c r="M17" i="6"/>
  <c r="M47" i="6"/>
  <c r="M39" i="6"/>
  <c r="M7" i="6"/>
  <c r="M23" i="6"/>
  <c r="M43" i="6"/>
  <c r="M12" i="6"/>
  <c r="M18" i="6"/>
  <c r="M20" i="6"/>
  <c r="M36" i="6"/>
  <c r="M10" i="6"/>
  <c r="M26" i="6"/>
  <c r="M28" i="6"/>
  <c r="M19" i="6"/>
  <c r="M35" i="6"/>
  <c r="M5" i="6"/>
  <c r="M46" i="6"/>
  <c r="M14" i="6"/>
  <c r="M22" i="6"/>
  <c r="M30" i="6"/>
  <c r="M44" i="6"/>
  <c r="M38" i="6"/>
  <c r="M11" i="6"/>
  <c r="M27" i="6"/>
  <c r="M13" i="6"/>
  <c r="M21" i="6"/>
  <c r="M29" i="6"/>
  <c r="M6" i="6"/>
  <c r="M37" i="6"/>
  <c r="M8" i="6"/>
  <c r="M16" i="6"/>
  <c r="M24" i="6"/>
  <c r="M34" i="6"/>
  <c r="M4" i="6"/>
  <c r="M41" i="6"/>
  <c r="M32" i="6"/>
  <c r="M40" i="6"/>
</calcChain>
</file>

<file path=xl/comments1.xml><?xml version="1.0" encoding="utf-8"?>
<comments xmlns="http://schemas.openxmlformats.org/spreadsheetml/2006/main">
  <authors>
    <author>Sergio</author>
  </authors>
  <commentList>
    <comment ref="O23" authorId="0" shapeId="0">
      <text>
        <r>
          <rPr>
            <b/>
            <sz val="9"/>
            <color indexed="81"/>
            <rFont val="Tahoma"/>
            <family val="2"/>
          </rPr>
          <t>Sergio:</t>
        </r>
        <r>
          <rPr>
            <sz val="9"/>
            <color indexed="81"/>
            <rFont val="Tahoma"/>
            <family val="2"/>
          </rPr>
          <t xml:space="preserve">
PROMEDIO de 20 simulaciones para acercarlo al valor real</t>
        </r>
      </text>
    </comment>
  </commentList>
</comments>
</file>

<file path=xl/sharedStrings.xml><?xml version="1.0" encoding="utf-8"?>
<sst xmlns="http://schemas.openxmlformats.org/spreadsheetml/2006/main" count="262" uniqueCount="187">
  <si>
    <t>Carpeta</t>
  </si>
  <si>
    <t>C:\Users\Sergio\Desktop\ARBITRAJE TRIANGULAR\DIVISAS\alligator\históricos\dìas forex\</t>
  </si>
  <si>
    <t>FUENTE</t>
  </si>
  <si>
    <t>Incluir Sub-Carpetas</t>
  </si>
  <si>
    <t>ExcelExperts.com</t>
  </si>
  <si>
    <r>
      <rPr>
        <b/>
        <sz val="11"/>
        <color indexed="18"/>
        <rFont val="Calibri"/>
        <family val="2"/>
      </rPr>
      <t>Para interrumpir el proceso presione la tecla</t>
    </r>
    <r>
      <rPr>
        <sz val="14"/>
        <color indexed="8"/>
        <rFont val="Calibri"/>
        <family val="2"/>
      </rPr>
      <t xml:space="preserve"> </t>
    </r>
    <r>
      <rPr>
        <b/>
        <sz val="14"/>
        <color indexed="10"/>
        <rFont val="Calibri"/>
        <family val="2"/>
      </rPr>
      <t>Esc</t>
    </r>
  </si>
  <si>
    <t>Ubicación del Archivo</t>
  </si>
  <si>
    <t>Nombre del Archivo</t>
  </si>
  <si>
    <t>Tamaño bytes</t>
  </si>
  <si>
    <t>Ultima modificación</t>
  </si>
  <si>
    <t>C:\Users\Sergio\Desktop\ARBITRAJE TRIANGULAR\DIVISAS\alligator\históricos\dìas forex\FOREX_20170313.csv</t>
  </si>
  <si>
    <t>FOREX_20170313.csv</t>
  </si>
  <si>
    <t>C:\Users\Sergio\Desktop\ARBITRAJE TRIANGULAR\DIVISAS\alligator\históricos\dìas forex\FOREX_20170314.csv</t>
  </si>
  <si>
    <t>FOREX_20170314.csv</t>
  </si>
  <si>
    <t>C:\Users\Sergio\Desktop\ARBITRAJE TRIANGULAR\DIVISAS\alligator\históricos\dìas forex\FOREX_20170315.csv</t>
  </si>
  <si>
    <t>FOREX_20170315.csv</t>
  </si>
  <si>
    <t>C:\Users\Sergio\Desktop\ARBITRAJE TRIANGULAR\DIVISAS\alligator\históricos\dìas forex\FOREX_20170316.csv</t>
  </si>
  <si>
    <t>FOREX_20170316.csv</t>
  </si>
  <si>
    <t>C:\Users\Sergio\Desktop\ARBITRAJE TRIANGULAR\DIVISAS\alligator\históricos\dìas forex\FOREX_20170317.csv</t>
  </si>
  <si>
    <t>FOREX_20170317.csv</t>
  </si>
  <si>
    <t>C:\Users\Sergio\Desktop\ARBITRAJE TRIANGULAR\DIVISAS\alligator\históricos\dìas forex\FOREX_20170320.csv</t>
  </si>
  <si>
    <t>FOREX_20170320.csv</t>
  </si>
  <si>
    <t>C:\Users\Sergio\Desktop\ARBITRAJE TRIANGULAR\DIVISAS\alligator\históricos\dìas forex\FOREX_20170321.csv</t>
  </si>
  <si>
    <t>FOREX_20170321.csv</t>
  </si>
  <si>
    <t>C:\Users\Sergio\Desktop\ARBITRAJE TRIANGULAR\DIVISAS\alligator\históricos\dìas forex\FOREX_20170322.csv</t>
  </si>
  <si>
    <t>FOREX_20170322.csv</t>
  </si>
  <si>
    <t>C:\Users\Sergio\Desktop\ARBITRAJE TRIANGULAR\DIVISAS\alligator\históricos\dìas forex\FOREX_20170323.csv</t>
  </si>
  <si>
    <t>FOREX_20170323.csv</t>
  </si>
  <si>
    <t>C:\Users\Sergio\Desktop\ARBITRAJE TRIANGULAR\DIVISAS\alligator\históricos\dìas forex\FOREX_20170324.csv</t>
  </si>
  <si>
    <t>FOREX_20170324.csv</t>
  </si>
  <si>
    <t>C:\Users\Sergio\Desktop\ARBITRAJE TRIANGULAR\DIVISAS\alligator\históricos\dìas forex\FOREX_20170327.csv</t>
  </si>
  <si>
    <t>FOREX_20170327.csv</t>
  </si>
  <si>
    <t>C:\Users\Sergio\Desktop\ARBITRAJE TRIANGULAR\DIVISAS\alligator\históricos\dìas forex\FOREX_20170328.csv</t>
  </si>
  <si>
    <t>FOREX_20170328.csv</t>
  </si>
  <si>
    <t>C:\Users\Sergio\Desktop\ARBITRAJE TRIANGULAR\DIVISAS\alligator\históricos\dìas forex\FOREX_20170329.csv</t>
  </si>
  <si>
    <t>FOREX_20170329.csv</t>
  </si>
  <si>
    <t>C:\Users\Sergio\Desktop\ARBITRAJE TRIANGULAR\DIVISAS\alligator\históricos\dìas forex\FOREX_20170330.csv</t>
  </si>
  <si>
    <t>FOREX_20170330.csv</t>
  </si>
  <si>
    <t>C:\Users\Sergio\Desktop\ARBITRAJE TRIANGULAR\DIVISAS\alligator\históricos\dìas forex\FOREX_20170331.csv</t>
  </si>
  <si>
    <t>FOREX_20170331.csv</t>
  </si>
  <si>
    <t>C:\Users\Sergio\Desktop\ARBITRAJE TRIANGULAR\DIVISAS\alligator\históricos\dìas forex\FOREX_20170403.csv</t>
  </si>
  <si>
    <t>FOREX_20170403.csv</t>
  </si>
  <si>
    <t>C:\Users\Sergio\Desktop\ARBITRAJE TRIANGULAR\DIVISAS\alligator\históricos\dìas forex\FOREX_20170404.csv</t>
  </si>
  <si>
    <t>FOREX_20170404.csv</t>
  </si>
  <si>
    <t>C:\Users\Sergio\Desktop\ARBITRAJE TRIANGULAR\DIVISAS\alligator\históricos\dìas forex\FOREX_20170405.csv</t>
  </si>
  <si>
    <t>FOREX_20170405.csv</t>
  </si>
  <si>
    <t>C:\Users\Sergio\Desktop\ARBITRAJE TRIANGULAR\DIVISAS\alligator\históricos\dìas forex\FOREX_20170406.csv</t>
  </si>
  <si>
    <t>FOREX_20170406.csv</t>
  </si>
  <si>
    <t>C:\Users\Sergio\Desktop\ARBITRAJE TRIANGULAR\DIVISAS\alligator\históricos\dìas forex\FOREX_20170407.csv</t>
  </si>
  <si>
    <t>FOREX_20170407.csv</t>
  </si>
  <si>
    <t>C:\Users\Sergio\Desktop\ARBITRAJE TRIANGULAR\DIVISAS\alligator\históricos\dìas forex\FOREX_20170410.csv</t>
  </si>
  <si>
    <t>FOREX_20170410.csv</t>
  </si>
  <si>
    <t>C:\Users\Sergio\Desktop\ARBITRAJE TRIANGULAR\DIVISAS\alligator\históricos\dìas forex\FOREX_20170411.csv</t>
  </si>
  <si>
    <t>FOREX_20170411.csv</t>
  </si>
  <si>
    <t>C:\Users\Sergio\Desktop\ARBITRAJE TRIANGULAR\DIVISAS\alligator\históricos\dìas forex\FOREX_20170412.csv</t>
  </si>
  <si>
    <t>FOREX_20170412.csv</t>
  </si>
  <si>
    <t>C:\Users\Sergio\Desktop\ARBITRAJE TRIANGULAR\DIVISAS\alligator\históricos\dìas forex\FOREX_20170413.csv</t>
  </si>
  <si>
    <t>FOREX_20170413.csv</t>
  </si>
  <si>
    <t>C:\Users\Sergio\Desktop\ARBITRAJE TRIANGULAR\DIVISAS\alligator\históricos\dìas forex\FOREX_20170414.csv</t>
  </si>
  <si>
    <t>FOREX_20170414.csv</t>
  </si>
  <si>
    <t>C:\Users\Sergio\Desktop\ARBITRAJE TRIANGULAR\DIVISAS\alligator\históricos\dìas forex\FOREX_20170417.csv</t>
  </si>
  <si>
    <t>FOREX_20170417.csv</t>
  </si>
  <si>
    <t>C:\Users\Sergio\Desktop\ARBITRAJE TRIANGULAR\DIVISAS\alligator\históricos\dìas forex\FOREX_20170418.csv</t>
  </si>
  <si>
    <t>FOREX_20170418.csv</t>
  </si>
  <si>
    <t>C:\Users\Sergio\Desktop\ARBITRAJE TRIANGULAR\DIVISAS\alligator\históricos\dìas forex\FOREX_20170419.csv</t>
  </si>
  <si>
    <t>FOREX_20170419.csv</t>
  </si>
  <si>
    <t>C:\Users\Sergio\Desktop\ARBITRAJE TRIANGULAR\DIVISAS\alligator\históricos\dìas forex\FOREX_20170420.csv</t>
  </si>
  <si>
    <t>FOREX_20170420.csv</t>
  </si>
  <si>
    <t>Awesome Oscillator (AO)</t>
  </si>
  <si>
    <t>Es un indicador que mide los umpulsos que está teniendo el mercado. Es necesario tener información de al menos 34 periodos. El AO es usado para corroborar tendendias y anticipar posibles cámbios en el mercado.</t>
  </si>
  <si>
    <t>El AO calcula la diferencia de 34 y 5 periodos usando promedios simples y movibles y se calcula con los precios medios de las barras.</t>
  </si>
  <si>
    <t>CÁLCULO</t>
  </si>
  <si>
    <t>AO = SMA(High+Low)/2, 5 Periods) - SMA(High+Low/2, 34 Periods)</t>
  </si>
  <si>
    <t>DEBAJO DE LA LINEA CERO</t>
  </si>
  <si>
    <t>PLATILLOS</t>
  </si>
  <si>
    <t>Es un patrón de tres intervalos en el que el intervalo medio es el más bajo de los tres</t>
  </si>
  <si>
    <t>DOS PICOS</t>
  </si>
  <si>
    <t>es un mínimo profundo seguido de un mínimo mas superficial.</t>
  </si>
  <si>
    <t>SOBRE DE LA LINEA CERO</t>
  </si>
  <si>
    <t>Es un patrón de tres intervalos en el que el intervalo medio es el más slto de los tres</t>
  </si>
  <si>
    <t>Es un máximo profundo seguido de un máximo más superficial.</t>
  </si>
  <si>
    <t>ESTRATEGIAS</t>
  </si>
  <si>
    <t>CRUCES DE LINEA CERO</t>
  </si>
  <si>
    <t>Cuando AO cruza por encima de la línea de cero, el impulso a corto plazo está aumentando más rápido que el impulso a largo plazo. Esto puede presentar una oportunidad de compra alcista .</t>
  </si>
  <si>
    <t>Tambien llamadas "Bullish Cross" y "Bearish Cross"</t>
  </si>
  <si>
    <t>twin Peaks (Dos picos)</t>
  </si>
  <si>
    <t>método que considera las diferencias entre dos picos en el mismo lado de la línea cero.</t>
  </si>
  <si>
    <t>Una configuración alcista de dos picos se produce cuando hay dos picos por debajo de la línea de cero. El segundo pico es mayor que el primer pico y seguido por una barra verde. También es muy importante, el valle entre los dos picos, debe permanecer por debajo de la línea de cero todo el tiempo.</t>
  </si>
  <si>
    <t>Una configuración bajista de dos picos se produce cuando hay dos picos por encima de la línea de cero. El segundo pico es menor que el primer pico y seguido por una barra roja. El canal entre ambos picos, debe mantenerse por encima de la línea de cero.</t>
  </si>
  <si>
    <t>PLATILLO ALCISTA</t>
  </si>
  <si>
    <t>Una técnica de platillo alcista (Bullish Saucer) ocurre cuando el AO está por encima de la línea de cero. Implica dos barras rojas consecutivos (con la segunda barra de ser más baja que la primera barra) está seguida de una barra verde.</t>
  </si>
  <si>
    <t>PLATILLO BAJISTA</t>
  </si>
  <si>
    <t>Una técnica de platillo bajista (Bearish Saucer) ocurre cuando el AO está por debajo de la línea de cero. Implica dos barras verdes consecutivos (con la segunda barra de ser más alta que la primera barra) siendo seguido por una barra roja.</t>
  </si>
  <si>
    <t>El precio es el elemento más reciente en cambiar. Como en un vehículo, antes de que esto suceda tiene que reducir la velocidad motriz con la que trabaja hasta llegar a cero para después poder hacer el cambio de dirección y empezar a acelerar de nuevo hasta repetir el proceso. Esta aceleración / desaceleración nos muestra con anticipación el cambio de dirección de las divisas, lo cual proporciona una ventaja de tiempo al trader.</t>
  </si>
  <si>
    <t>LINEA CERO:                                                                                                                                                                                                                                                                                                                                            Es donde la aceleración y la fuerza motora son iguales. El precio se mantiene en un precio fijo.</t>
  </si>
  <si>
    <t>Puede ser positiva constante (el precio está creciendo)</t>
  </si>
  <si>
    <t>Puede ser negativa constante (el precio está decreciendo)</t>
  </si>
  <si>
    <t>Si el indicador AC está encima de la línea cero, es probable que el precio se incremente, y si esta debajo de la línea, que el precio decrezca.</t>
  </si>
  <si>
    <t>¿Qué mide el Oscilador de aceleración?</t>
  </si>
  <si>
    <t>Mide el crecimiento de la fuerza motora del mercado, lo que nos permite darnos cuenta de un posible cambio de rirección y de precio de las acciones antes de que suceda.</t>
  </si>
  <si>
    <t>Cambia la dirección de AC</t>
  </si>
  <si>
    <t>Cambia la dirección de la fuerza motora</t>
  </si>
  <si>
    <t>Cambia el precio de la acción</t>
  </si>
  <si>
    <t>luego</t>
  </si>
  <si>
    <t>CUANDO VENDER O COMPRAR</t>
  </si>
  <si>
    <t>CÁLCULOS</t>
  </si>
  <si>
    <t>Su cálculo se basa en el AO, pero ahora con otra resta con una media móvil de 5 rangos extra</t>
  </si>
  <si>
    <t>var prom</t>
  </si>
  <si>
    <t>desv. Est.</t>
  </si>
  <si>
    <t>proyección</t>
  </si>
  <si>
    <t>suponiendo que tiene dist. Normal para proyectar los precios para el cálculo del Alligator</t>
  </si>
  <si>
    <t>DATE</t>
  </si>
  <si>
    <t>OPEN</t>
  </si>
  <si>
    <t>HIGH</t>
  </si>
  <si>
    <t>LOW</t>
  </si>
  <si>
    <t>CLOSE</t>
  </si>
  <si>
    <t>(H+L)/2</t>
  </si>
  <si>
    <t>SMA 5</t>
  </si>
  <si>
    <t>SMA 34</t>
  </si>
  <si>
    <t>AO</t>
  </si>
  <si>
    <t>AC</t>
  </si>
  <si>
    <t>variacion</t>
  </si>
  <si>
    <t>proyeccion a un dia</t>
  </si>
  <si>
    <t>28-Apr-2017</t>
  </si>
  <si>
    <t>27-Apr-2017</t>
  </si>
  <si>
    <t>26-Apr-2017</t>
  </si>
  <si>
    <t>25-Apr-2017</t>
  </si>
  <si>
    <t>24-Apr-2017</t>
  </si>
  <si>
    <t>21-Apr-2017</t>
  </si>
  <si>
    <t>20-Apr-2017</t>
  </si>
  <si>
    <t>19-Apr-2017</t>
  </si>
  <si>
    <t>18-Apr-2017</t>
  </si>
  <si>
    <t>17-Apr-2017</t>
  </si>
  <si>
    <t>14-Apr-2017</t>
  </si>
  <si>
    <t>13-Apr-2017</t>
  </si>
  <si>
    <t>12-Apr-2017</t>
  </si>
  <si>
    <t>11-Apr-2017</t>
  </si>
  <si>
    <t>10-Apr-2017</t>
  </si>
  <si>
    <t>07-Apr-2017</t>
  </si>
  <si>
    <t>06-Apr-2017</t>
  </si>
  <si>
    <t>05-Apr-2017</t>
  </si>
  <si>
    <t>04-Apr-2017</t>
  </si>
  <si>
    <t>03-Apr-2017</t>
  </si>
  <si>
    <t>LINEAS DE BALANCE</t>
  </si>
  <si>
    <t>Mandíbula Alligator</t>
  </si>
  <si>
    <t>para el marco de tiempo que fue usado para construir el gráfico, es decir para el marco de tiempo actual. Se calcula como una media móvil suavizada de 13 periodos, proyectada en el futuro por 8 barras.</t>
  </si>
  <si>
    <t>"cuando la mandíbula, los dientes y los labios están cerrados o entrelazados, esto significa que el Alligator se va a dormir o ya está durmiendo. Conforme permanece dormido, se pone cada vez más hambriento – entre más duerma el Alligator, más hambriento estará cuando se despierte. Lo primero que hace al despertarse es abrir su boca y bostezar. Entonces el olor de la comida llega a su nariz: "comida" de un mercado que irá al alza o de un mercado que irá a la baja y el Alligator comienza a cazar. Después de haber comido suficiente hasta quedar lleno, el Alligator comienza a perder interés en la comida (precio) y las Líneas de Balance comienzan a juntarse nuevamente (momento en el que hay que tomar las ganancias). Aquí, el Alligator se duerme nuevamente esperando el momento en que tenga hambre nuevamente."</t>
  </si>
  <si>
    <t>En este caso, cuando nos referimos a que el Alligator abre la boca, significa que las tres Líneas de Balance divergen y por lo tanto el mercado se vuelve más activo, lo que presenta nuevas oportunidades al trader. Por el contrario, al decir que el Alligator cierra la boca, lo que esto significa es que las tres líneas se entremezclan, lo que quiere decir que el mercado se mueve en un rango de precios y presenta pocas oportunidades por lo que hay que esperar hasta que vuelva a presentar condiciones adecuadas para operar.</t>
  </si>
  <si>
    <t>NOTA: Las velas que nos interesan son las que son fuertes. Con esto nos referimos a que si son alsistas, que cierren cerca de su máximo. Si son bajistas, que cierren cerca de su mínimo. Si alguna de las dos cierra lejos de su máximo o mínimo (según sea el caso), indica que es una vela con poca decisión.</t>
  </si>
  <si>
    <t>Dientes Alligator</t>
  </si>
  <si>
    <t>Para un marco de tiempo inferior al actual (un nivel inferior al marco de tiempo actual). Se calcula como una media móvil suavizada de 8 periodos, proyectada en el futuros por 8 barras. </t>
  </si>
  <si>
    <t>Labios Alligator</t>
  </si>
  <si>
    <t>Para un marco de tiempo inferior al de "los dientes del Alligator" (un nivel inferior al marco de tiempo de esta Línea de Balance). Se calcula como una media móvil suavizada de 5 periodos, proyectada en el futuro por 3 barras.</t>
  </si>
  <si>
    <t>Una tendencia alcista es indicada cuando los precios se mueven arriba de la boca del Alligator que como dijimos está compuesta de su mandíbula, los dientes y los labios (Las líneas azul, rojo y verde respectivamente). Además, estas líneas deben estar alineadas e inclinadas hacia arriba, con la línea verde por encima de la línea roja, y esta por arriba de la línea azul. Al mismo tiempo todas las Líneas de Balance deben estar abajo del precio.</t>
  </si>
  <si>
    <t>Método de cálculo del Alligator:</t>
  </si>
  <si>
    <t>Cálculo:</t>
  </si>
  <si>
    <t>Una tendencia bajista es indicada cuando los precios se mueven abajo de la boca del Alligator. En este caso, las líneas deben estar alineadas e inclinadas hacia abajo, con la linea azul arriba de la línea roja, y esta por encima de la línea verde. Al mismo tiempo todas las Líneas de Balance deben estar arriba del precio.</t>
  </si>
  <si>
    <t>Para calcular las distintas Líneas de Balance del Alligator se emplean los siguientes valores:</t>
  </si>
  <si>
    <r>
      <t>Precio Mediano(n)</t>
    </r>
    <r>
      <rPr>
        <sz val="10"/>
        <color rgb="FF000000"/>
        <rFont val="Tahoma"/>
        <family val="2"/>
      </rPr>
      <t> = [Máximo(n) + Mínimo(n)] / 2</t>
    </r>
  </si>
  <si>
    <r>
      <t>n </t>
    </r>
    <r>
      <rPr>
        <sz val="10"/>
        <color rgb="FF000000"/>
        <rFont val="Tahoma"/>
        <family val="2"/>
      </rPr>
      <t>= El número de periodos de tiempo.</t>
    </r>
  </si>
  <si>
    <r>
      <t>Labios del Alligator (Línea verde)</t>
    </r>
    <r>
      <rPr>
        <sz val="10"/>
        <color rgb="FF000000"/>
        <rFont val="Tahoma"/>
        <family val="2"/>
      </rPr>
      <t> = SMMA (Precio Mediano(n), 5, 3)</t>
    </r>
  </si>
  <si>
    <t>¡ NOTA !</t>
  </si>
  <si>
    <r>
      <t>Máximo(n)</t>
    </r>
    <r>
      <rPr>
        <sz val="10"/>
        <color rgb="FF000000"/>
        <rFont val="Tahoma"/>
        <family val="2"/>
      </rPr>
      <t> = El precio máximo alcanzado durante el periodo de tiempo n.</t>
    </r>
  </si>
  <si>
    <r>
      <t>Mandíbula del Alligator (Línea azul)</t>
    </r>
    <r>
      <rPr>
        <sz val="10"/>
        <color rgb="FF000000"/>
        <rFont val="Tahoma"/>
        <family val="2"/>
      </rPr>
      <t> = SMMA (Precio Mediano(n), 13,8)</t>
    </r>
  </si>
  <si>
    <r>
      <t>Mínimo(n)</t>
    </r>
    <r>
      <rPr>
        <sz val="10"/>
        <color rgb="FF000000"/>
        <rFont val="Tahoma"/>
        <family val="2"/>
      </rPr>
      <t> =  El precio mínimo alcanzado durante el periodo de tiempo n.</t>
    </r>
  </si>
  <si>
    <r>
      <t>Dientes del Alligator (Línea roja)</t>
    </r>
    <r>
      <rPr>
        <sz val="10"/>
        <color rgb="FF000000"/>
        <rFont val="Tahoma"/>
        <family val="2"/>
      </rPr>
      <t> = SMMA (Precio Mediano(n), 8, 5)</t>
    </r>
  </si>
  <si>
    <r>
      <t>SMMA(A,B,C)</t>
    </r>
    <r>
      <rPr>
        <sz val="10"/>
        <color rgb="FF000000"/>
        <rFont val="Tahoma"/>
        <family val="2"/>
      </rPr>
      <t xml:space="preserve"> = Una media móvil suavizada donde A  se refiere a los datos que van a ser suavizados, B se refiere al periodo a suavizar y C representa el cambio de periodo de tiempo.                                                                         </t>
    </r>
  </si>
  <si>
    <t>Media Móvil Suavizada:                                                                                                                                                                                  SUM – suma;
SUM1 – suma de precios de cierre para períodos N; se calcula a partir de la barra anterior;
PREVSUM – suma suavizada de la barra anterior;
SMMA (i-1) – media móvil suavizada de la barra anterior;
SMMA (i) – media móvil suavizada de la barra actual (salvo la primera barra);
CLOSE (i) – precio de cierre actual;
N – período de suavizado.</t>
  </si>
  <si>
    <t>Media Móvil Suavizada                                                                                                                                                    SUM – suma;
CLOSE(i) – precio de cierre actual;
SUM (i, N) – suma de coeficientes ponderales;
N – período de suavizado.</t>
  </si>
  <si>
    <t>LWMA = SUM (CLOSE (i) * i, N) / SUM (i, N)</t>
  </si>
  <si>
    <t>SMMA (i) = (SMMA (i - 1) * (N - 1) + CLOSE (i)) / N</t>
  </si>
  <si>
    <t>*</t>
  </si>
  <si>
    <t>Vender/Comprar abajo/arriba del bajo/alto de la barra de inversión</t>
  </si>
  <si>
    <t>Colocar un stop loss ligeramente arriba/abajo del alto/bajo de la misma barra.</t>
  </si>
  <si>
    <t>C:\</t>
  </si>
  <si>
    <t>Variación</t>
  </si>
  <si>
    <t xml:space="preserve"> </t>
  </si>
  <si>
    <t>BARRA DE INVERSIÓN: Es una barra que nos indica un cambio de tendencia probable. Esta barra se caracteriza por alcanzar algún nuevo máximo o mínimo pero que cierra dentro del 50% inferior del rango del día. Al momento de identificarla se recomienda que el trader haga lo siguiente:</t>
  </si>
  <si>
    <t xml:space="preserve">BARRA DIVERGENTE: Cuando los precios incrementan con mayor rapidez de lo normal significa que está pasando por una tendencia alcista fuerte. Uno de los problemas que tiene el Indicador "Alligator" es que sus lineas de tendencia son lentas con respecto a este cambio de precios, ya que estamos hablando de medias móviles suavizadas, por lo que las condiciones que nos presente el indicador estarán un poco atrasadas a los precios actuales o incluso puede que no se mueva (en algunas ocasiones). En caso de que esto suceda, es necesario buscar una barra o vela que indique un cambio de tendencia a corto plazo (por más pequeño que pueda parecer).              </t>
  </si>
  <si>
    <t>cotizaciones</t>
  </si>
  <si>
    <t>media</t>
  </si>
  <si>
    <t>desv</t>
  </si>
  <si>
    <t>var. Sim</t>
  </si>
  <si>
    <t>Precios Simulados</t>
  </si>
  <si>
    <t>labios</t>
  </si>
  <si>
    <t>dientes</t>
  </si>
  <si>
    <t>mandibula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</si>
</sst>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d\ dd\-mmm\-yy\ hh:mm:ss"/>
  </numFmts>
  <fonts count="31"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1"/>
      <color rgb="FF0000CC"/>
      <name val="Calibri"/>
      <family val="2"/>
      <scheme val="minor"/>
    </font>
    <font>
      <b/>
      <u/>
      <sz val="11"/>
      <color rgb="FF0000CC"/>
      <name val="Calibri"/>
      <family val="2"/>
      <scheme val="minor"/>
    </font>
    <font>
      <b/>
      <sz val="11"/>
      <color rgb="FFFF0000"/>
      <name val="Calibri"/>
      <family val="2"/>
      <scheme val="minor"/>
    </font>
    <font>
      <sz val="11"/>
      <color rgb="FFFF0000"/>
      <name val="Calibri"/>
      <family val="2"/>
    </font>
    <font>
      <b/>
      <sz val="11"/>
      <color indexed="18"/>
      <name val="Calibri"/>
      <family val="2"/>
    </font>
    <font>
      <sz val="14"/>
      <color indexed="8"/>
      <name val="Calibri"/>
      <family val="2"/>
    </font>
    <font>
      <b/>
      <sz val="14"/>
      <color indexed="10"/>
      <name val="Calibri"/>
      <family val="2"/>
    </font>
    <font>
      <sz val="22"/>
      <color rgb="FFFF0000"/>
      <name val="Calibri"/>
      <family val="2"/>
      <scheme val="minor"/>
    </font>
    <font>
      <sz val="48"/>
      <color theme="1"/>
      <name val="Calibri"/>
      <family val="2"/>
      <scheme val="minor"/>
    </font>
    <font>
      <sz val="10"/>
      <color rgb="FF000000"/>
      <name val="Arial"/>
      <family val="2"/>
    </font>
    <font>
      <u/>
      <sz val="11"/>
      <color theme="10"/>
      <name val="Calibri"/>
      <family val="2"/>
      <scheme val="minor"/>
    </font>
    <font>
      <sz val="11"/>
      <color rgb="FF656565"/>
      <name val="Trebuchet MS"/>
      <family val="2"/>
    </font>
    <font>
      <sz val="11"/>
      <color rgb="FF252525"/>
      <name val="Arial"/>
      <family val="2"/>
    </font>
    <font>
      <b/>
      <sz val="48"/>
      <color theme="8" tint="-0.499984740745262"/>
      <name val="Calibri"/>
      <family val="2"/>
      <scheme val="minor"/>
    </font>
    <font>
      <sz val="11"/>
      <color rgb="FF00B050"/>
      <name val="Calibri"/>
      <family val="2"/>
      <scheme val="minor"/>
    </font>
    <font>
      <sz val="10"/>
      <color theme="0"/>
      <name val="Arial"/>
      <family val="2"/>
    </font>
    <font>
      <sz val="11"/>
      <color rgb="FF0070C0"/>
      <name val="Calibri"/>
      <family val="2"/>
      <scheme val="minor"/>
    </font>
    <font>
      <sz val="10"/>
      <color rgb="FF000000"/>
      <name val="Tahoma"/>
      <family val="2"/>
    </font>
    <font>
      <sz val="9"/>
      <color rgb="FF000000"/>
      <name val="Tahoma"/>
      <family val="2"/>
    </font>
    <font>
      <sz val="11"/>
      <color rgb="FF00CC00"/>
      <name val="Calibri"/>
      <family val="2"/>
      <scheme val="minor"/>
    </font>
    <font>
      <b/>
      <sz val="18"/>
      <color rgb="FF000000"/>
      <name val="Tahoma"/>
      <family val="2"/>
    </font>
    <font>
      <b/>
      <sz val="14"/>
      <color rgb="FF000000"/>
      <name val="Tahoma"/>
      <family val="2"/>
    </font>
    <font>
      <b/>
      <sz val="10"/>
      <color rgb="FF000000"/>
      <name val="Tahoma"/>
      <family val="2"/>
    </font>
    <font>
      <b/>
      <sz val="48"/>
      <color theme="1"/>
      <name val="Calibri"/>
      <family val="2"/>
      <scheme val="minor"/>
    </font>
    <font>
      <sz val="11"/>
      <color rgb="FF0000FF"/>
      <name val="Tahoma"/>
      <family val="2"/>
    </font>
    <font>
      <sz val="9"/>
      <color indexed="81"/>
      <name val="Tahoma"/>
      <family val="2"/>
    </font>
    <font>
      <b/>
      <sz val="9"/>
      <color indexed="81"/>
      <name val="Tahoma"/>
      <family val="2"/>
    </font>
  </fonts>
  <fills count="25">
    <fill>
      <patternFill patternType="none"/>
    </fill>
    <fill>
      <patternFill patternType="gray125"/>
    </fill>
    <fill>
      <patternFill patternType="solid">
        <fgColor rgb="FF21713A"/>
        <bgColor indexed="64"/>
      </patternFill>
    </fill>
    <fill>
      <patternFill patternType="solid">
        <fgColor rgb="FFFFFF00"/>
        <bgColor indexed="64"/>
      </patternFill>
    </fill>
    <fill>
      <patternFill patternType="solid">
        <fgColor theme="1" tint="4.9989318521683403E-2"/>
        <bgColor indexed="64"/>
      </patternFill>
    </fill>
    <fill>
      <patternFill patternType="solid">
        <fgColor theme="5" tint="-0.249977111117893"/>
        <bgColor indexed="64"/>
      </patternFill>
    </fill>
    <fill>
      <patternFill patternType="solid">
        <fgColor theme="8" tint="0.39997558519241921"/>
        <bgColor indexed="64"/>
      </patternFill>
    </fill>
    <fill>
      <patternFill patternType="solid">
        <fgColor theme="3" tint="0.39997558519241921"/>
        <bgColor indexed="64"/>
      </patternFill>
    </fill>
    <fill>
      <patternFill patternType="solid">
        <fgColor theme="9"/>
        <bgColor indexed="64"/>
      </patternFill>
    </fill>
    <fill>
      <patternFill patternType="solid">
        <fgColor rgb="FFFF0000"/>
        <bgColor indexed="64"/>
      </patternFill>
    </fill>
    <fill>
      <patternFill patternType="solid">
        <fgColor rgb="FF00FF00"/>
        <bgColor indexed="64"/>
      </patternFill>
    </fill>
    <fill>
      <patternFill patternType="solid">
        <fgColor theme="1"/>
        <bgColor indexed="64"/>
      </patternFill>
    </fill>
    <fill>
      <patternFill patternType="solid">
        <fgColor theme="3"/>
        <bgColor indexed="64"/>
      </patternFill>
    </fill>
    <fill>
      <patternFill patternType="solid">
        <fgColor rgb="FF92D050"/>
        <bgColor indexed="64"/>
      </patternFill>
    </fill>
    <fill>
      <patternFill patternType="solid">
        <fgColor rgb="FFFF6600"/>
        <bgColor indexed="64"/>
      </patternFill>
    </fill>
    <fill>
      <patternFill patternType="solid">
        <fgColor theme="4"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rgb="FFFFFF66"/>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FFC000"/>
        <bgColor indexed="64"/>
      </patternFill>
    </fill>
    <fill>
      <patternFill patternType="solid">
        <fgColor theme="4" tint="-0.249977111117893"/>
        <bgColor indexed="64"/>
      </patternFill>
    </fill>
  </fills>
  <borders count="37">
    <border>
      <left/>
      <right/>
      <top/>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0"/>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rgb="FF00CC00"/>
      </right>
      <top style="thin">
        <color rgb="FF00CC00"/>
      </top>
      <bottom/>
      <diagonal/>
    </border>
    <border>
      <left/>
      <right style="thin">
        <color rgb="FF0070C0"/>
      </right>
      <top style="thin">
        <color rgb="FF0070C0"/>
      </top>
      <bottom/>
      <diagonal/>
    </border>
    <border>
      <left style="thin">
        <color indexed="64"/>
      </left>
      <right/>
      <top style="thin">
        <color indexed="64"/>
      </top>
      <bottom/>
      <diagonal/>
    </border>
    <border>
      <left/>
      <right style="thin">
        <color indexed="64"/>
      </right>
      <top style="thin">
        <color indexed="64"/>
      </top>
      <bottom/>
      <diagonal/>
    </border>
    <border>
      <left/>
      <right style="thin">
        <color rgb="FFFF0000"/>
      </right>
      <top style="thin">
        <color rgb="FFFF0000"/>
      </top>
      <bottom/>
      <diagonal/>
    </border>
    <border>
      <left style="thin">
        <color indexed="64"/>
      </left>
      <right/>
      <top/>
      <bottom style="thin">
        <color indexed="64"/>
      </bottom>
      <diagonal/>
    </border>
    <border>
      <left style="thin">
        <color theme="9" tint="-0.249977111117893"/>
      </left>
      <right/>
      <top style="thin">
        <color theme="9" tint="-0.249977111117893"/>
      </top>
      <bottom/>
      <diagonal/>
    </border>
    <border>
      <left/>
      <right/>
      <top style="thin">
        <color theme="9" tint="-0.249977111117893"/>
      </top>
      <bottom/>
      <diagonal/>
    </border>
    <border>
      <left/>
      <right style="thin">
        <color theme="9" tint="-0.249977111117893"/>
      </right>
      <top style="thin">
        <color theme="9" tint="-0.249977111117893"/>
      </top>
      <bottom/>
      <diagonal/>
    </border>
    <border>
      <left style="thin">
        <color theme="9" tint="-0.249977111117893"/>
      </left>
      <right/>
      <top/>
      <bottom/>
      <diagonal/>
    </border>
    <border>
      <left/>
      <right style="thin">
        <color theme="9" tint="-0.249977111117893"/>
      </right>
      <top/>
      <bottom/>
      <diagonal/>
    </border>
    <border>
      <left style="thin">
        <color indexed="64"/>
      </left>
      <right/>
      <top/>
      <bottom/>
      <diagonal/>
    </border>
    <border>
      <left/>
      <right style="thin">
        <color indexed="64"/>
      </right>
      <top/>
      <bottom/>
      <diagonal/>
    </border>
    <border>
      <left style="thin">
        <color theme="9" tint="-0.249977111117893"/>
      </left>
      <right/>
      <top/>
      <bottom style="thin">
        <color theme="9" tint="-0.249977111117893"/>
      </bottom>
      <diagonal/>
    </border>
    <border>
      <left/>
      <right/>
      <top/>
      <bottom style="thin">
        <color theme="9" tint="-0.249977111117893"/>
      </bottom>
      <diagonal/>
    </border>
    <border>
      <left/>
      <right style="thin">
        <color theme="9" tint="-0.249977111117893"/>
      </right>
      <top/>
      <bottom style="thin">
        <color theme="9" tint="-0.249977111117893"/>
      </bottom>
      <diagonal/>
    </border>
  </borders>
  <cellStyleXfs count="2">
    <xf numFmtId="0" fontId="0" fillId="0" borderId="0"/>
    <xf numFmtId="0" fontId="14" fillId="0" borderId="0" applyNumberFormat="0" applyFill="0" applyBorder="0" applyAlignment="0" applyProtection="0"/>
  </cellStyleXfs>
  <cellXfs count="212">
    <xf numFmtId="0" fontId="0" fillId="0" borderId="0" xfId="0"/>
    <xf numFmtId="0" fontId="1" fillId="2" borderId="1" xfId="0" applyFont="1" applyFill="1" applyBorder="1"/>
    <xf numFmtId="0" fontId="5" fillId="0" borderId="0" xfId="0" applyFont="1"/>
    <xf numFmtId="0" fontId="1" fillId="2" borderId="3" xfId="0" applyFont="1" applyFill="1" applyBorder="1"/>
    <xf numFmtId="0" fontId="6" fillId="3" borderId="4" xfId="0" applyFont="1" applyFill="1" applyBorder="1"/>
    <xf numFmtId="164" fontId="0" fillId="0" borderId="0" xfId="0" applyNumberFormat="1"/>
    <xf numFmtId="0" fontId="4" fillId="0" borderId="0" xfId="0" applyFont="1"/>
    <xf numFmtId="164" fontId="7" fillId="0" borderId="0" xfId="0" applyNumberFormat="1" applyFont="1" applyAlignment="1">
      <alignment horizontal="right"/>
    </xf>
    <xf numFmtId="0" fontId="2" fillId="0" borderId="0" xfId="0" applyFont="1" applyAlignment="1"/>
    <xf numFmtId="0" fontId="1" fillId="2" borderId="2" xfId="0" applyFont="1" applyFill="1" applyBorder="1" applyAlignment="1">
      <alignment horizontal="center"/>
    </xf>
    <xf numFmtId="164" fontId="1" fillId="2" borderId="2" xfId="0" applyNumberFormat="1" applyFont="1" applyFill="1" applyBorder="1" applyAlignment="1">
      <alignment horizontal="center"/>
    </xf>
    <xf numFmtId="22" fontId="0" fillId="0" borderId="0" xfId="0" applyNumberFormat="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Border="1"/>
    <xf numFmtId="0" fontId="0" fillId="0" borderId="11" xfId="0" applyBorder="1"/>
    <xf numFmtId="0" fontId="14" fillId="0" borderId="0" xfId="1" applyBorder="1"/>
    <xf numFmtId="0" fontId="15" fillId="0" borderId="0" xfId="0" applyFont="1" applyBorder="1" applyAlignment="1">
      <alignment vertical="center"/>
    </xf>
    <xf numFmtId="0" fontId="14" fillId="0" borderId="0" xfId="1" applyBorder="1" applyAlignment="1">
      <alignment vertical="center"/>
    </xf>
    <xf numFmtId="0" fontId="16" fillId="0" borderId="10" xfId="0" applyFont="1" applyBorder="1"/>
    <xf numFmtId="0" fontId="0" fillId="0" borderId="12" xfId="0" applyBorder="1"/>
    <xf numFmtId="0" fontId="0" fillId="0" borderId="13" xfId="0" applyBorder="1"/>
    <xf numFmtId="0" fontId="0" fillId="0" borderId="14" xfId="0" applyBorder="1"/>
    <xf numFmtId="0" fontId="0" fillId="0" borderId="0" xfId="0" applyAlignment="1">
      <alignment horizontal="center" vertical="center"/>
    </xf>
    <xf numFmtId="0" fontId="0" fillId="3" borderId="0" xfId="0" applyFill="1"/>
    <xf numFmtId="15" fontId="0" fillId="0" borderId="0" xfId="0" applyNumberFormat="1" applyAlignment="1">
      <alignment horizontal="center" vertical="center"/>
    </xf>
    <xf numFmtId="0" fontId="0" fillId="0" borderId="0" xfId="0" applyBorder="1" applyAlignment="1">
      <alignment horizontal="center"/>
    </xf>
    <xf numFmtId="0" fontId="20" fillId="0" borderId="2" xfId="0" applyFont="1" applyBorder="1" applyAlignment="1">
      <alignment horizontal="center" vertical="center"/>
    </xf>
    <xf numFmtId="0" fontId="21" fillId="0" borderId="2" xfId="0" applyFont="1" applyBorder="1" applyAlignment="1">
      <alignment wrapText="1"/>
    </xf>
    <xf numFmtId="0" fontId="21" fillId="0" borderId="0" xfId="0" applyFont="1" applyBorder="1" applyAlignment="1">
      <alignment wrapText="1"/>
    </xf>
    <xf numFmtId="0" fontId="2" fillId="0" borderId="2" xfId="0" applyFont="1" applyBorder="1" applyAlignment="1">
      <alignment horizontal="center" vertical="center"/>
    </xf>
    <xf numFmtId="0" fontId="23" fillId="0" borderId="2" xfId="0" applyFont="1" applyBorder="1" applyAlignment="1">
      <alignment horizontal="center" vertical="center"/>
    </xf>
    <xf numFmtId="0" fontId="24" fillId="0" borderId="18" xfId="0" applyFont="1" applyBorder="1" applyAlignment="1">
      <alignment horizontal="justify" vertical="center" wrapText="1"/>
    </xf>
    <xf numFmtId="0" fontId="25" fillId="0" borderId="0" xfId="0" applyFont="1" applyAlignment="1">
      <alignment horizontal="justify" vertical="center" wrapText="1"/>
    </xf>
    <xf numFmtId="0" fontId="0" fillId="0" borderId="0" xfId="0" applyAlignment="1"/>
    <xf numFmtId="0" fontId="0" fillId="0" borderId="0" xfId="0" applyBorder="1" applyAlignment="1"/>
    <xf numFmtId="0" fontId="0" fillId="0" borderId="19" xfId="0" applyBorder="1"/>
    <xf numFmtId="0" fontId="21" fillId="0" borderId="19" xfId="0" applyFont="1" applyBorder="1" applyAlignment="1">
      <alignment horizontal="justify" vertical="center" wrapText="1"/>
    </xf>
    <xf numFmtId="0" fontId="26" fillId="0" borderId="20" xfId="0" applyFont="1" applyBorder="1" applyAlignment="1">
      <alignment horizontal="center" vertical="center" wrapText="1"/>
    </xf>
    <xf numFmtId="0" fontId="0" fillId="0" borderId="19" xfId="0" applyBorder="1" applyAlignment="1">
      <alignment horizontal="left" vertical="center" wrapText="1" indent="1"/>
    </xf>
    <xf numFmtId="0" fontId="26" fillId="0" borderId="0" xfId="0" applyFont="1" applyBorder="1" applyAlignment="1">
      <alignment horizontal="justify" vertical="center" wrapText="1"/>
    </xf>
    <xf numFmtId="0" fontId="26" fillId="0" borderId="19" xfId="0" applyFont="1" applyBorder="1" applyAlignment="1">
      <alignment horizontal="justify" vertical="center" wrapText="1"/>
    </xf>
    <xf numFmtId="0" fontId="26" fillId="0" borderId="21" xfId="0" applyFont="1" applyBorder="1" applyAlignment="1">
      <alignment horizontal="justify" vertical="center" wrapText="1"/>
    </xf>
    <xf numFmtId="0" fontId="26" fillId="0" borderId="22" xfId="0" applyFont="1" applyBorder="1" applyAlignment="1">
      <alignment horizontal="justify" vertical="center" wrapText="1"/>
    </xf>
    <xf numFmtId="0" fontId="24" fillId="0" borderId="0" xfId="0" applyFont="1" applyAlignment="1">
      <alignment vertical="center" wrapText="1"/>
    </xf>
    <xf numFmtId="0" fontId="26" fillId="0" borderId="25" xfId="0" applyFont="1" applyBorder="1" applyAlignment="1">
      <alignment horizontal="left" vertical="center" wrapText="1" indent="1"/>
    </xf>
    <xf numFmtId="0" fontId="26" fillId="0" borderId="26" xfId="0" applyFont="1" applyBorder="1" applyAlignment="1">
      <alignment horizontal="justify" vertical="center" wrapText="1"/>
    </xf>
    <xf numFmtId="0" fontId="0" fillId="0" borderId="0" xfId="0" applyBorder="1" applyAlignment="1">
      <alignment vertical="top" wrapText="1"/>
    </xf>
    <xf numFmtId="0" fontId="26" fillId="0" borderId="32" xfId="0" applyFont="1" applyBorder="1" applyAlignment="1">
      <alignment horizontal="right" vertical="center" wrapText="1"/>
    </xf>
    <xf numFmtId="0" fontId="26" fillId="0" borderId="26" xfId="0" applyFont="1" applyBorder="1" applyAlignment="1">
      <alignment horizontal="right" vertical="center" wrapText="1"/>
    </xf>
    <xf numFmtId="0" fontId="26" fillId="0" borderId="0" xfId="0" applyFont="1" applyAlignment="1">
      <alignment vertical="center" wrapText="1"/>
    </xf>
    <xf numFmtId="15" fontId="0" fillId="0" borderId="10" xfId="0" applyNumberFormat="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7" borderId="7" xfId="0" applyFill="1" applyBorder="1" applyAlignment="1">
      <alignment horizontal="center" vertical="center"/>
    </xf>
    <xf numFmtId="0" fontId="0" fillId="7" borderId="8" xfId="0" applyFill="1" applyBorder="1" applyAlignment="1">
      <alignment horizontal="center" vertical="center"/>
    </xf>
    <xf numFmtId="0" fontId="0" fillId="7" borderId="9" xfId="0" applyFill="1" applyBorder="1" applyAlignment="1">
      <alignment horizontal="center" vertical="center"/>
    </xf>
    <xf numFmtId="0" fontId="0" fillId="3" borderId="7" xfId="0" applyFill="1" applyBorder="1" applyAlignment="1">
      <alignment horizontal="center" vertical="center"/>
    </xf>
    <xf numFmtId="0" fontId="0" fillId="3" borderId="10" xfId="0" applyFill="1" applyBorder="1"/>
    <xf numFmtId="0" fontId="0" fillId="23" borderId="9" xfId="0" applyFill="1" applyBorder="1" applyAlignment="1">
      <alignment horizontal="center" vertical="center"/>
    </xf>
    <xf numFmtId="0" fontId="0" fillId="23" borderId="11" xfId="0" applyFill="1" applyBorder="1"/>
    <xf numFmtId="0" fontId="0" fillId="24" borderId="0" xfId="0" applyFill="1" applyAlignment="1">
      <alignment horizontal="center" vertical="center"/>
    </xf>
    <xf numFmtId="0" fontId="18" fillId="0" borderId="0" xfId="0" applyFont="1"/>
    <xf numFmtId="0" fontId="0" fillId="13" borderId="0" xfId="0" applyFill="1"/>
    <xf numFmtId="0" fontId="2" fillId="0" borderId="0" xfId="0" applyFont="1"/>
    <xf numFmtId="0" fontId="0" fillId="17" borderId="0" xfId="0" applyFill="1"/>
    <xf numFmtId="0" fontId="4" fillId="3" borderId="2" xfId="0" applyFont="1" applyFill="1" applyBorder="1" applyAlignment="1">
      <alignment horizontal="left"/>
    </xf>
    <xf numFmtId="0" fontId="7" fillId="0" borderId="5" xfId="0" applyFont="1" applyBorder="1" applyAlignment="1">
      <alignment horizontal="left" vertical="top"/>
    </xf>
    <xf numFmtId="0" fontId="7" fillId="0" borderId="6" xfId="0" applyFont="1" applyBorder="1" applyAlignment="1">
      <alignment horizontal="left" vertical="top"/>
    </xf>
    <xf numFmtId="0" fontId="2" fillId="0" borderId="0" xfId="0" applyFont="1" applyAlignment="1">
      <alignment horizontal="center"/>
    </xf>
    <xf numFmtId="0" fontId="17" fillId="14" borderId="0" xfId="0" applyFont="1" applyFill="1" applyBorder="1" applyAlignment="1">
      <alignment horizontal="center" vertical="center" wrapText="1"/>
    </xf>
    <xf numFmtId="0" fontId="0" fillId="14" borderId="0" xfId="0" applyFill="1" applyBorder="1" applyAlignment="1">
      <alignment horizontal="center"/>
    </xf>
    <xf numFmtId="0" fontId="0" fillId="14" borderId="0" xfId="0" applyFill="1" applyBorder="1" applyAlignment="1">
      <alignment horizontal="center" vertical="center" wrapText="1"/>
    </xf>
    <xf numFmtId="0" fontId="0" fillId="13" borderId="2" xfId="0" applyFill="1" applyBorder="1" applyAlignment="1">
      <alignment horizontal="center" vertical="center" wrapText="1"/>
    </xf>
    <xf numFmtId="0" fontId="0" fillId="13" borderId="2" xfId="0" applyFill="1" applyBorder="1" applyAlignment="1">
      <alignment horizontal="center" wrapText="1"/>
    </xf>
    <xf numFmtId="0" fontId="13" fillId="10" borderId="10" xfId="0" applyFont="1" applyFill="1" applyBorder="1" applyAlignment="1">
      <alignment horizontal="center" wrapText="1"/>
    </xf>
    <xf numFmtId="0" fontId="13" fillId="10" borderId="0" xfId="0" applyFont="1" applyFill="1" applyBorder="1" applyAlignment="1">
      <alignment horizontal="center" wrapText="1"/>
    </xf>
    <xf numFmtId="0" fontId="13" fillId="10" borderId="11" xfId="0" applyFont="1" applyFill="1" applyBorder="1" applyAlignment="1">
      <alignment horizontal="center" wrapText="1"/>
    </xf>
    <xf numFmtId="0" fontId="13" fillId="10" borderId="12" xfId="0" applyFont="1" applyFill="1" applyBorder="1" applyAlignment="1">
      <alignment horizontal="center" wrapText="1"/>
    </xf>
    <xf numFmtId="0" fontId="13" fillId="10" borderId="13" xfId="0" applyFont="1" applyFill="1" applyBorder="1" applyAlignment="1">
      <alignment horizontal="center" wrapText="1"/>
    </xf>
    <xf numFmtId="0" fontId="13" fillId="10" borderId="14" xfId="0" applyFont="1" applyFill="1" applyBorder="1" applyAlignment="1">
      <alignment horizontal="center" wrapText="1"/>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0" borderId="9" xfId="0" applyFont="1" applyFill="1" applyBorder="1" applyAlignment="1">
      <alignment horizontal="center"/>
    </xf>
    <xf numFmtId="0" fontId="0" fillId="10" borderId="10"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11" xfId="0" applyFill="1" applyBorder="1" applyAlignment="1">
      <alignment horizontal="center" vertical="center" wrapText="1"/>
    </xf>
    <xf numFmtId="0" fontId="0" fillId="10" borderId="12" xfId="0" applyFill="1" applyBorder="1" applyAlignment="1">
      <alignment horizontal="center" vertical="center" wrapText="1"/>
    </xf>
    <xf numFmtId="0" fontId="0" fillId="10" borderId="13" xfId="0" applyFill="1" applyBorder="1" applyAlignment="1">
      <alignment horizontal="center" vertical="center" wrapText="1"/>
    </xf>
    <xf numFmtId="0" fontId="0" fillId="10" borderId="14" xfId="0" applyFill="1" applyBorder="1" applyAlignment="1">
      <alignment horizontal="center" vertical="center" wrapText="1"/>
    </xf>
    <xf numFmtId="0" fontId="2" fillId="11" borderId="0" xfId="0" applyFont="1" applyFill="1" applyBorder="1" applyAlignment="1">
      <alignment horizontal="center"/>
    </xf>
    <xf numFmtId="0" fontId="0" fillId="12" borderId="2" xfId="0" applyFill="1" applyBorder="1" applyAlignment="1">
      <alignment horizontal="center" vertical="center" wrapText="1"/>
    </xf>
    <xf numFmtId="0" fontId="0" fillId="12" borderId="2" xfId="0" applyFill="1" applyBorder="1" applyAlignment="1">
      <alignment wrapText="1"/>
    </xf>
    <xf numFmtId="0" fontId="11" fillId="4" borderId="7" xfId="0" applyFont="1" applyFill="1" applyBorder="1" applyAlignment="1">
      <alignment horizontal="center"/>
    </xf>
    <xf numFmtId="0" fontId="11" fillId="4" borderId="8" xfId="0" applyFont="1" applyFill="1" applyBorder="1" applyAlignment="1">
      <alignment horizontal="center"/>
    </xf>
    <xf numFmtId="0" fontId="11" fillId="4" borderId="9" xfId="0" applyFont="1" applyFill="1" applyBorder="1" applyAlignment="1">
      <alignment horizontal="center"/>
    </xf>
    <xf numFmtId="0" fontId="11" fillId="4" borderId="12" xfId="0" applyFont="1" applyFill="1" applyBorder="1" applyAlignment="1">
      <alignment horizontal="center"/>
    </xf>
    <xf numFmtId="0" fontId="11" fillId="4" borderId="13" xfId="0" applyFont="1" applyFill="1" applyBorder="1" applyAlignment="1">
      <alignment horizontal="center"/>
    </xf>
    <xf numFmtId="0" fontId="11" fillId="4" borderId="14" xfId="0" applyFont="1" applyFill="1" applyBorder="1" applyAlignment="1">
      <alignment horizontal="center"/>
    </xf>
    <xf numFmtId="0" fontId="0" fillId="5" borderId="0" xfId="0" applyFill="1" applyBorder="1" applyAlignment="1">
      <alignment horizontal="center" wrapText="1"/>
    </xf>
    <xf numFmtId="0" fontId="0" fillId="6" borderId="0" xfId="0" applyFill="1" applyBorder="1" applyAlignment="1">
      <alignment horizontal="center" wrapText="1"/>
    </xf>
    <xf numFmtId="0" fontId="12" fillId="7" borderId="0" xfId="0" applyFont="1" applyFill="1" applyBorder="1" applyAlignment="1">
      <alignment horizontal="center" wrapText="1"/>
    </xf>
    <xf numFmtId="0" fontId="3" fillId="8" borderId="2" xfId="0" applyFont="1" applyFill="1" applyBorder="1" applyAlignment="1">
      <alignment horizontal="center" vertical="center"/>
    </xf>
    <xf numFmtId="0" fontId="0" fillId="8" borderId="2" xfId="0" applyFill="1" applyBorder="1" applyAlignment="1">
      <alignment horizontal="center" vertical="center"/>
    </xf>
    <xf numFmtId="0" fontId="3" fillId="0" borderId="15" xfId="0" applyFont="1" applyBorder="1" applyAlignment="1">
      <alignment horizontal="center"/>
    </xf>
    <xf numFmtId="0" fontId="3" fillId="0" borderId="16" xfId="0" applyFont="1" applyBorder="1" applyAlignment="1">
      <alignment horizontal="center"/>
    </xf>
    <xf numFmtId="0" fontId="3" fillId="0" borderId="17" xfId="0" applyFont="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9" borderId="9" xfId="0" applyFont="1" applyFill="1" applyBorder="1" applyAlignment="1">
      <alignment horizontal="center"/>
    </xf>
    <xf numFmtId="0" fontId="13" fillId="9" borderId="10" xfId="0" applyFont="1" applyFill="1" applyBorder="1" applyAlignment="1">
      <alignment horizontal="center" wrapText="1"/>
    </xf>
    <xf numFmtId="0" fontId="13" fillId="9" borderId="0" xfId="0" applyFont="1" applyFill="1" applyBorder="1" applyAlignment="1">
      <alignment horizontal="center" wrapText="1"/>
    </xf>
    <xf numFmtId="0" fontId="13" fillId="9" borderId="11" xfId="0" applyFont="1" applyFill="1" applyBorder="1" applyAlignment="1">
      <alignment horizontal="center" wrapText="1"/>
    </xf>
    <xf numFmtId="0" fontId="13" fillId="9" borderId="12" xfId="0" applyFont="1" applyFill="1" applyBorder="1" applyAlignment="1">
      <alignment horizontal="center" wrapText="1"/>
    </xf>
    <xf numFmtId="0" fontId="13" fillId="9" borderId="13" xfId="0" applyFont="1" applyFill="1" applyBorder="1" applyAlignment="1">
      <alignment horizontal="center" wrapText="1"/>
    </xf>
    <xf numFmtId="0" fontId="13" fillId="9" borderId="14" xfId="0" applyFont="1" applyFill="1" applyBorder="1" applyAlignment="1">
      <alignment horizontal="center" wrapText="1"/>
    </xf>
    <xf numFmtId="0" fontId="0" fillId="9" borderId="10" xfId="0" applyFill="1" applyBorder="1" applyAlignment="1">
      <alignment horizontal="center" vertical="center" wrapText="1"/>
    </xf>
    <xf numFmtId="0" fontId="0" fillId="9" borderId="0" xfId="0" applyFill="1" applyBorder="1" applyAlignment="1">
      <alignment horizontal="center" vertical="center" wrapText="1"/>
    </xf>
    <xf numFmtId="0" fontId="0" fillId="9" borderId="11" xfId="0" applyFill="1" applyBorder="1" applyAlignment="1">
      <alignment horizontal="center" vertical="center" wrapText="1"/>
    </xf>
    <xf numFmtId="0" fontId="0" fillId="9" borderId="12" xfId="0" applyFill="1" applyBorder="1" applyAlignment="1">
      <alignment horizontal="center" vertical="center" wrapText="1"/>
    </xf>
    <xf numFmtId="0" fontId="0" fillId="9" borderId="13" xfId="0" applyFill="1" applyBorder="1" applyAlignment="1">
      <alignment horizontal="center" vertical="center" wrapText="1"/>
    </xf>
    <xf numFmtId="0" fontId="0" fillId="9" borderId="14" xfId="0" applyFill="1" applyBorder="1" applyAlignment="1">
      <alignment horizontal="center" vertical="center" wrapText="1"/>
    </xf>
    <xf numFmtId="0" fontId="0" fillId="16" borderId="10" xfId="0" applyFill="1" applyBorder="1" applyAlignment="1">
      <alignment horizontal="center" wrapText="1"/>
    </xf>
    <xf numFmtId="0" fontId="0" fillId="16" borderId="0" xfId="0" applyFill="1" applyBorder="1" applyAlignment="1">
      <alignment horizontal="center" wrapText="1"/>
    </xf>
    <xf numFmtId="0" fontId="0" fillId="16" borderId="11" xfId="0" applyFill="1" applyBorder="1" applyAlignment="1">
      <alignment horizontal="center" wrapText="1"/>
    </xf>
    <xf numFmtId="0" fontId="0" fillId="16" borderId="12" xfId="0" applyFill="1" applyBorder="1" applyAlignment="1">
      <alignment horizontal="center" wrapText="1"/>
    </xf>
    <xf numFmtId="0" fontId="0" fillId="16" borderId="13" xfId="0" applyFill="1" applyBorder="1" applyAlignment="1">
      <alignment horizontal="center" wrapText="1"/>
    </xf>
    <xf numFmtId="0" fontId="0" fillId="16" borderId="14" xfId="0" applyFill="1" applyBorder="1" applyAlignment="1">
      <alignment horizontal="center" wrapText="1"/>
    </xf>
    <xf numFmtId="0" fontId="0" fillId="16" borderId="7" xfId="0" applyFill="1" applyBorder="1" applyAlignment="1">
      <alignment horizontal="center" vertical="center" wrapText="1"/>
    </xf>
    <xf numFmtId="0" fontId="0" fillId="16" borderId="9" xfId="0" applyFill="1" applyBorder="1" applyAlignment="1">
      <alignment horizontal="center" vertical="center" wrapText="1"/>
    </xf>
    <xf numFmtId="0" fontId="0" fillId="16" borderId="10" xfId="0" applyFill="1" applyBorder="1" applyAlignment="1">
      <alignment horizontal="center" vertical="center" wrapText="1"/>
    </xf>
    <xf numFmtId="0" fontId="0" fillId="16" borderId="11" xfId="0" applyFill="1" applyBorder="1" applyAlignment="1">
      <alignment horizontal="center" vertical="center" wrapText="1"/>
    </xf>
    <xf numFmtId="0" fontId="0" fillId="16" borderId="12" xfId="0" applyFill="1" applyBorder="1" applyAlignment="1">
      <alignment horizontal="center" vertical="center" wrapText="1"/>
    </xf>
    <xf numFmtId="0" fontId="0" fillId="16" borderId="14" xfId="0" applyFill="1" applyBorder="1" applyAlignment="1">
      <alignment horizontal="center" vertical="center" wrapText="1"/>
    </xf>
    <xf numFmtId="0" fontId="0" fillId="0" borderId="7" xfId="0" applyBorder="1" applyAlignment="1">
      <alignment horizontal="center" wrapText="1"/>
    </xf>
    <xf numFmtId="0" fontId="0" fillId="0" borderId="8" xfId="0" applyBorder="1" applyAlignment="1">
      <alignment horizontal="center" wrapText="1"/>
    </xf>
    <xf numFmtId="0" fontId="0" fillId="0" borderId="9" xfId="0" applyBorder="1" applyAlignment="1">
      <alignment horizontal="center" wrapText="1"/>
    </xf>
    <xf numFmtId="0" fontId="0" fillId="0" borderId="10"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15" borderId="2" xfId="0" applyFill="1" applyBorder="1" applyAlignment="1">
      <alignment horizontal="center" wrapText="1"/>
    </xf>
    <xf numFmtId="0" fontId="18" fillId="15" borderId="2" xfId="0" applyFont="1" applyFill="1" applyBorder="1" applyAlignment="1">
      <alignment horizontal="center" wrapText="1"/>
    </xf>
    <xf numFmtId="0" fontId="2" fillId="15" borderId="2" xfId="0" applyFont="1" applyFill="1" applyBorder="1" applyAlignment="1">
      <alignment horizontal="center" wrapText="1"/>
    </xf>
    <xf numFmtId="0" fontId="19" fillId="15" borderId="2" xfId="0" applyFont="1" applyFill="1" applyBorder="1" applyAlignment="1">
      <alignment horizontal="center" wrapText="1"/>
    </xf>
    <xf numFmtId="0" fontId="0" fillId="16" borderId="8" xfId="0" applyFill="1" applyBorder="1" applyAlignment="1">
      <alignment horizontal="center" vertical="center" wrapText="1"/>
    </xf>
    <xf numFmtId="0" fontId="0" fillId="0" borderId="0" xfId="0" applyAlignment="1">
      <alignment horizontal="center" wrapText="1"/>
    </xf>
    <xf numFmtId="0" fontId="0" fillId="0" borderId="2" xfId="0" applyBorder="1" applyAlignment="1">
      <alignment horizontal="center"/>
    </xf>
    <xf numFmtId="0" fontId="22" fillId="17" borderId="7" xfId="0" applyFont="1" applyFill="1" applyBorder="1" applyAlignment="1">
      <alignment horizontal="center" vertical="center" wrapText="1"/>
    </xf>
    <xf numFmtId="0" fontId="22" fillId="17" borderId="8" xfId="0" applyFont="1" applyFill="1" applyBorder="1" applyAlignment="1">
      <alignment horizontal="center" vertical="center" wrapText="1"/>
    </xf>
    <xf numFmtId="0" fontId="22" fillId="17" borderId="9" xfId="0" applyFont="1" applyFill="1" applyBorder="1" applyAlignment="1">
      <alignment horizontal="center" vertical="center" wrapText="1"/>
    </xf>
    <xf numFmtId="0" fontId="22" fillId="17" borderId="10" xfId="0" applyFont="1" applyFill="1" applyBorder="1" applyAlignment="1">
      <alignment horizontal="center" vertical="center" wrapText="1"/>
    </xf>
    <xf numFmtId="0" fontId="22" fillId="17" borderId="0" xfId="0" applyFont="1" applyFill="1" applyBorder="1" applyAlignment="1">
      <alignment horizontal="center" vertical="center" wrapText="1"/>
    </xf>
    <xf numFmtId="0" fontId="22" fillId="17" borderId="11" xfId="0" applyFont="1" applyFill="1" applyBorder="1" applyAlignment="1">
      <alignment horizontal="center" vertical="center" wrapText="1"/>
    </xf>
    <xf numFmtId="0" fontId="22" fillId="17" borderId="12" xfId="0" applyFont="1" applyFill="1" applyBorder="1" applyAlignment="1">
      <alignment horizontal="center" vertical="center" wrapText="1"/>
    </xf>
    <xf numFmtId="0" fontId="22" fillId="17" borderId="13" xfId="0" applyFont="1" applyFill="1" applyBorder="1" applyAlignment="1">
      <alignment horizontal="center" vertical="center" wrapText="1"/>
    </xf>
    <xf numFmtId="0" fontId="22" fillId="17" borderId="14" xfId="0" applyFont="1" applyFill="1" applyBorder="1" applyAlignment="1">
      <alignment horizontal="center" vertical="center" wrapText="1"/>
    </xf>
    <xf numFmtId="0" fontId="21" fillId="18" borderId="7" xfId="0" applyFont="1" applyFill="1" applyBorder="1" applyAlignment="1">
      <alignment horizontal="center" vertical="center" wrapText="1"/>
    </xf>
    <xf numFmtId="0" fontId="21" fillId="18" borderId="8" xfId="0" applyFont="1" applyFill="1" applyBorder="1" applyAlignment="1">
      <alignment horizontal="center" vertical="center" wrapText="1"/>
    </xf>
    <xf numFmtId="0" fontId="21" fillId="18" borderId="9" xfId="0" applyFont="1" applyFill="1" applyBorder="1" applyAlignment="1">
      <alignment horizontal="center" vertical="center" wrapText="1"/>
    </xf>
    <xf numFmtId="0" fontId="21" fillId="18" borderId="10" xfId="0" applyFont="1" applyFill="1" applyBorder="1" applyAlignment="1">
      <alignment horizontal="center" vertical="center" wrapText="1"/>
    </xf>
    <xf numFmtId="0" fontId="21" fillId="18" borderId="0" xfId="0" applyFont="1" applyFill="1" applyBorder="1" applyAlignment="1">
      <alignment horizontal="center" vertical="center" wrapText="1"/>
    </xf>
    <xf numFmtId="0" fontId="21" fillId="18" borderId="11" xfId="0" applyFont="1" applyFill="1" applyBorder="1" applyAlignment="1">
      <alignment horizontal="center" vertical="center" wrapText="1"/>
    </xf>
    <xf numFmtId="0" fontId="21" fillId="18" borderId="12" xfId="0" applyFont="1" applyFill="1" applyBorder="1" applyAlignment="1">
      <alignment horizontal="center" vertical="center" wrapText="1"/>
    </xf>
    <xf numFmtId="0" fontId="21" fillId="18" borderId="13" xfId="0" applyFont="1" applyFill="1" applyBorder="1" applyAlignment="1">
      <alignment horizontal="center" vertical="center" wrapText="1"/>
    </xf>
    <xf numFmtId="0" fontId="21" fillId="18" borderId="14" xfId="0" applyFont="1" applyFill="1" applyBorder="1" applyAlignment="1">
      <alignment horizontal="center" vertical="center" wrapText="1"/>
    </xf>
    <xf numFmtId="0" fontId="21" fillId="0" borderId="0"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6" xfId="0" applyFont="1" applyBorder="1" applyAlignment="1">
      <alignment horizontal="center" vertical="center" wrapText="1"/>
    </xf>
    <xf numFmtId="0" fontId="21" fillId="0" borderId="4" xfId="0" applyFont="1" applyBorder="1" applyAlignment="1">
      <alignment horizontal="center" vertical="center" wrapText="1"/>
    </xf>
    <xf numFmtId="0" fontId="27" fillId="9" borderId="0" xfId="0" applyFont="1" applyFill="1" applyAlignment="1">
      <alignment horizontal="center"/>
    </xf>
    <xf numFmtId="0" fontId="21" fillId="0" borderId="23"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24" xfId="0" applyFont="1" applyBorder="1" applyAlignment="1">
      <alignment horizontal="center" vertical="center" wrapText="1"/>
    </xf>
    <xf numFmtId="0" fontId="21" fillId="0" borderId="26" xfId="0" applyFont="1" applyBorder="1" applyAlignment="1">
      <alignment horizontal="center" vertical="center" wrapText="1"/>
    </xf>
    <xf numFmtId="0" fontId="28" fillId="0" borderId="27" xfId="0" applyFont="1" applyBorder="1" applyAlignment="1">
      <alignment horizontal="left" vertical="top" wrapText="1"/>
    </xf>
    <xf numFmtId="0" fontId="28" fillId="0" borderId="28" xfId="0" applyFont="1" applyBorder="1" applyAlignment="1">
      <alignment horizontal="left" vertical="top" wrapText="1"/>
    </xf>
    <xf numFmtId="0" fontId="28" fillId="0" borderId="29" xfId="0" applyFont="1" applyBorder="1" applyAlignment="1">
      <alignment horizontal="left" vertical="top" wrapText="1"/>
    </xf>
    <xf numFmtId="0" fontId="28" fillId="0" borderId="30" xfId="0" applyFont="1" applyBorder="1" applyAlignment="1">
      <alignment horizontal="left" vertical="top" wrapText="1"/>
    </xf>
    <xf numFmtId="0" fontId="28" fillId="0" borderId="0" xfId="0" applyFont="1" applyBorder="1" applyAlignment="1">
      <alignment horizontal="left" vertical="top" wrapText="1"/>
    </xf>
    <xf numFmtId="0" fontId="28" fillId="0" borderId="31" xfId="0" applyFont="1" applyBorder="1" applyAlignment="1">
      <alignment horizontal="left" vertical="top" wrapText="1"/>
    </xf>
    <xf numFmtId="0" fontId="0" fillId="19" borderId="7" xfId="0" applyFill="1" applyBorder="1" applyAlignment="1">
      <alignment horizontal="center" vertical="center" wrapText="1"/>
    </xf>
    <xf numFmtId="0" fontId="0" fillId="19" borderId="8" xfId="0" applyFill="1" applyBorder="1" applyAlignment="1">
      <alignment horizontal="center" vertical="center" wrapText="1"/>
    </xf>
    <xf numFmtId="0" fontId="0" fillId="19" borderId="9" xfId="0" applyFill="1" applyBorder="1" applyAlignment="1">
      <alignment horizontal="center" vertical="center" wrapText="1"/>
    </xf>
    <xf numFmtId="0" fontId="0" fillId="19" borderId="12" xfId="0" applyFill="1" applyBorder="1" applyAlignment="1">
      <alignment horizontal="center" vertical="center" wrapText="1"/>
    </xf>
    <xf numFmtId="0" fontId="0" fillId="19" borderId="13" xfId="0" applyFill="1" applyBorder="1" applyAlignment="1">
      <alignment horizontal="center" vertical="center" wrapText="1"/>
    </xf>
    <xf numFmtId="0" fontId="0" fillId="19" borderId="14" xfId="0" applyFill="1" applyBorder="1" applyAlignment="1">
      <alignment horizontal="center" vertical="center" wrapText="1"/>
    </xf>
    <xf numFmtId="0" fontId="21" fillId="20" borderId="0" xfId="0" applyFont="1" applyFill="1" applyAlignment="1">
      <alignment horizontal="center" vertical="center" wrapText="1"/>
    </xf>
    <xf numFmtId="0" fontId="21" fillId="20" borderId="0" xfId="0" applyFont="1" applyFill="1" applyBorder="1" applyAlignment="1">
      <alignment horizontal="center" vertical="center" wrapText="1"/>
    </xf>
    <xf numFmtId="0" fontId="21" fillId="21" borderId="0" xfId="0" applyFont="1" applyFill="1" applyAlignment="1">
      <alignment horizontal="center" vertical="center" wrapText="1"/>
    </xf>
    <xf numFmtId="0" fontId="21" fillId="21" borderId="0" xfId="0" applyFont="1" applyFill="1" applyBorder="1" applyAlignment="1">
      <alignment horizontal="center" vertical="center" wrapText="1"/>
    </xf>
    <xf numFmtId="0" fontId="28" fillId="0" borderId="27" xfId="0" applyFont="1" applyBorder="1" applyAlignment="1">
      <alignment horizontal="center" vertical="top" wrapText="1"/>
    </xf>
    <xf numFmtId="0" fontId="28" fillId="0" borderId="28" xfId="0" applyFont="1" applyBorder="1" applyAlignment="1">
      <alignment horizontal="center" vertical="top" wrapText="1"/>
    </xf>
    <xf numFmtId="0" fontId="28" fillId="0" borderId="29" xfId="0" applyFont="1" applyBorder="1" applyAlignment="1">
      <alignment horizontal="center" vertical="top" wrapText="1"/>
    </xf>
    <xf numFmtId="0" fontId="21" fillId="0" borderId="32" xfId="0" applyFont="1" applyBorder="1" applyAlignment="1">
      <alignment horizontal="center" vertical="center" wrapText="1"/>
    </xf>
    <xf numFmtId="0" fontId="3" fillId="0" borderId="30" xfId="0" applyFont="1" applyBorder="1" applyAlignment="1">
      <alignment horizontal="center"/>
    </xf>
    <xf numFmtId="0" fontId="3" fillId="0" borderId="0" xfId="0" applyFont="1" applyBorder="1" applyAlignment="1">
      <alignment horizontal="center"/>
    </xf>
    <xf numFmtId="0" fontId="3" fillId="0" borderId="31" xfId="0" applyFont="1" applyBorder="1" applyAlignment="1">
      <alignment horizontal="center"/>
    </xf>
    <xf numFmtId="0" fontId="3" fillId="0" borderId="34" xfId="0" applyFont="1" applyBorder="1" applyAlignment="1">
      <alignment horizontal="center"/>
    </xf>
    <xf numFmtId="0" fontId="3" fillId="0" borderId="35" xfId="0" applyFont="1" applyBorder="1" applyAlignment="1">
      <alignment horizontal="center"/>
    </xf>
    <xf numFmtId="0" fontId="3" fillId="0" borderId="36" xfId="0" applyFont="1" applyBorder="1" applyAlignment="1">
      <alignment horizontal="center"/>
    </xf>
    <xf numFmtId="0" fontId="0" fillId="22" borderId="10" xfId="0" applyFill="1" applyBorder="1" applyAlignment="1">
      <alignment horizontal="center"/>
    </xf>
    <xf numFmtId="0" fontId="0" fillId="22" borderId="11" xfId="0" applyFill="1" applyBorder="1" applyAlignment="1">
      <alignment horizontal="center"/>
    </xf>
    <xf numFmtId="0" fontId="0" fillId="22" borderId="12" xfId="0" applyFill="1" applyBorder="1" applyAlignment="1">
      <alignment horizontal="center"/>
    </xf>
    <xf numFmtId="0" fontId="0" fillId="22" borderId="14" xfId="0" applyFill="1" applyBorder="1" applyAlignment="1">
      <alignment horizontal="center"/>
    </xf>
    <xf numFmtId="0" fontId="0" fillId="13" borderId="0" xfId="0" applyFill="1" applyAlignment="1">
      <alignment horizontal="center"/>
    </xf>
  </cellXfs>
  <cellStyles count="2">
    <cellStyle name="Hipervínculo" xfId="1" builtinId="8"/>
    <cellStyle name="Normal" xfId="0" builtinId="0"/>
  </cellStyles>
  <dxfs count="0"/>
  <tableStyles count="0" defaultTableStyle="TableStyleMedium2" defaultPivotStyle="PivotStyleLight16"/>
  <colors>
    <mruColors>
      <color rgb="FF13E7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AC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spPr>
            <a:solidFill>
              <a:srgbClr val="00B050"/>
            </a:solidFill>
            <a:ln>
              <a:noFill/>
            </a:ln>
            <a:effectLst/>
            <a:sp3d/>
          </c:spPr>
          <c:invertIfNegative val="0"/>
          <c:dPt>
            <c:idx val="1"/>
            <c:invertIfNegative val="0"/>
            <c:bubble3D val="0"/>
            <c:spPr>
              <a:solidFill>
                <a:srgbClr val="FF0000"/>
              </a:solidFill>
              <a:ln>
                <a:noFill/>
              </a:ln>
              <a:effectLst/>
              <a:sp3d/>
            </c:spPr>
          </c:dPt>
          <c:dPt>
            <c:idx val="2"/>
            <c:invertIfNegative val="0"/>
            <c:bubble3D val="0"/>
            <c:spPr>
              <a:solidFill>
                <a:srgbClr val="FF0000"/>
              </a:solidFill>
              <a:ln>
                <a:noFill/>
              </a:ln>
              <a:effectLst/>
              <a:sp3d/>
            </c:spPr>
          </c:dPt>
          <c:dPt>
            <c:idx val="3"/>
            <c:invertIfNegative val="0"/>
            <c:bubble3D val="0"/>
            <c:spPr>
              <a:solidFill>
                <a:srgbClr val="FF0000"/>
              </a:solidFill>
              <a:ln>
                <a:noFill/>
              </a:ln>
              <a:effectLst/>
              <a:sp3d/>
            </c:spPr>
          </c:dPt>
          <c:cat>
            <c:strRef>
              <c:f>'AO, AC Cálculos'!$B$41:$B$47</c:f>
              <c:strCache>
                <c:ptCount val="7"/>
                <c:pt idx="0">
                  <c:v>20-Apr-2017</c:v>
                </c:pt>
                <c:pt idx="1">
                  <c:v>21-Apr-2017</c:v>
                </c:pt>
                <c:pt idx="2">
                  <c:v>24-Apr-2017</c:v>
                </c:pt>
                <c:pt idx="3">
                  <c:v>25-Apr-2017</c:v>
                </c:pt>
                <c:pt idx="4">
                  <c:v>26-Apr-2017</c:v>
                </c:pt>
                <c:pt idx="5">
                  <c:v>27-Apr-2017</c:v>
                </c:pt>
                <c:pt idx="6">
                  <c:v>28-Apr-2017</c:v>
                </c:pt>
              </c:strCache>
            </c:strRef>
          </c:cat>
          <c:val>
            <c:numRef>
              <c:f>'AO, AC Cálculos'!$K$41:$K$47</c:f>
              <c:numCache>
                <c:formatCode>General</c:formatCode>
                <c:ptCount val="7"/>
                <c:pt idx="0">
                  <c:v>3.9982352941171363E-4</c:v>
                </c:pt>
                <c:pt idx="1">
                  <c:v>1.4705882352936684E-4</c:v>
                </c:pt>
                <c:pt idx="2">
                  <c:v>4.241176470584085E-5</c:v>
                </c:pt>
                <c:pt idx="3">
                  <c:v>1.3411764705861805E-5</c:v>
                </c:pt>
                <c:pt idx="4">
                  <c:v>8.4529411764677764E-5</c:v>
                </c:pt>
                <c:pt idx="5">
                  <c:v>1.5476470588233761E-4</c:v>
                </c:pt>
                <c:pt idx="6">
                  <c:v>2.623529411764691E-4</c:v>
                </c:pt>
              </c:numCache>
            </c:numRef>
          </c:val>
        </c:ser>
        <c:dLbls>
          <c:showLegendKey val="0"/>
          <c:showVal val="0"/>
          <c:showCatName val="0"/>
          <c:showSerName val="0"/>
          <c:showPercent val="0"/>
          <c:showBubbleSize val="0"/>
        </c:dLbls>
        <c:gapWidth val="150"/>
        <c:shape val="box"/>
        <c:axId val="-2119399696"/>
        <c:axId val="-2119390448"/>
        <c:axId val="0"/>
      </c:bar3DChart>
      <c:catAx>
        <c:axId val="-21193996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119390448"/>
        <c:crosses val="autoZero"/>
        <c:auto val="1"/>
        <c:lblAlgn val="ctr"/>
        <c:lblOffset val="100"/>
        <c:noMultiLvlLbl val="0"/>
      </c:catAx>
      <c:valAx>
        <c:axId val="-211939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119399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AO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13E703"/>
              </a:solidFill>
              <a:ln>
                <a:noFill/>
              </a:ln>
              <a:effectLst/>
            </c:spPr>
          </c:dPt>
          <c:dPt>
            <c:idx val="4"/>
            <c:invertIfNegative val="0"/>
            <c:bubble3D val="0"/>
            <c:spPr>
              <a:solidFill>
                <a:srgbClr val="13E703"/>
              </a:solidFill>
              <a:ln>
                <a:noFill/>
              </a:ln>
              <a:effectLst/>
            </c:spPr>
          </c:dPt>
          <c:dPt>
            <c:idx val="5"/>
            <c:invertIfNegative val="0"/>
            <c:bubble3D val="0"/>
            <c:spPr>
              <a:solidFill>
                <a:srgbClr val="13E703"/>
              </a:solidFill>
              <a:ln>
                <a:noFill/>
              </a:ln>
              <a:effectLst/>
            </c:spPr>
          </c:dPt>
          <c:dPt>
            <c:idx val="8"/>
            <c:invertIfNegative val="0"/>
            <c:bubble3D val="0"/>
            <c:spPr>
              <a:solidFill>
                <a:srgbClr val="13E703"/>
              </a:solidFill>
              <a:ln>
                <a:noFill/>
              </a:ln>
              <a:effectLst/>
            </c:spPr>
          </c:dPt>
          <c:dPt>
            <c:idx val="9"/>
            <c:invertIfNegative val="0"/>
            <c:bubble3D val="0"/>
            <c:spPr>
              <a:solidFill>
                <a:srgbClr val="13E703"/>
              </a:solidFill>
              <a:ln>
                <a:noFill/>
              </a:ln>
              <a:effectLst/>
            </c:spPr>
          </c:dPt>
          <c:dPt>
            <c:idx val="10"/>
            <c:invertIfNegative val="0"/>
            <c:bubble3D val="0"/>
            <c:spPr>
              <a:solidFill>
                <a:srgbClr val="13E703"/>
              </a:solidFill>
              <a:ln>
                <a:noFill/>
              </a:ln>
              <a:effectLst/>
            </c:spPr>
          </c:dPt>
          <c:cat>
            <c:strRef>
              <c:f>'AO, AC Cálculos'!$B$37:$B$47</c:f>
              <c:strCache>
                <c:ptCount val="11"/>
                <c:pt idx="0">
                  <c:v>14-Apr-2017</c:v>
                </c:pt>
                <c:pt idx="1">
                  <c:v>17-Apr-2017</c:v>
                </c:pt>
                <c:pt idx="2">
                  <c:v>18-Apr-2017</c:v>
                </c:pt>
                <c:pt idx="3">
                  <c:v>19-Apr-2017</c:v>
                </c:pt>
                <c:pt idx="4">
                  <c:v>20-Apr-2017</c:v>
                </c:pt>
                <c:pt idx="5">
                  <c:v>21-Apr-2017</c:v>
                </c:pt>
                <c:pt idx="6">
                  <c:v>24-Apr-2017</c:v>
                </c:pt>
                <c:pt idx="7">
                  <c:v>25-Apr-2017</c:v>
                </c:pt>
                <c:pt idx="8">
                  <c:v>26-Apr-2017</c:v>
                </c:pt>
                <c:pt idx="9">
                  <c:v>27-Apr-2017</c:v>
                </c:pt>
                <c:pt idx="10">
                  <c:v>28-Apr-2017</c:v>
                </c:pt>
              </c:strCache>
            </c:strRef>
          </c:cat>
          <c:val>
            <c:numRef>
              <c:f>'AO, AC Cálculos'!$J$37:$J$47</c:f>
              <c:numCache>
                <c:formatCode>General</c:formatCode>
                <c:ptCount val="11"/>
                <c:pt idx="0">
                  <c:v>1.4423529411764502E-3</c:v>
                </c:pt>
                <c:pt idx="1">
                  <c:v>6.6470588235290062E-4</c:v>
                </c:pt>
                <c:pt idx="2">
                  <c:v>1.0735294117636407E-4</c:v>
                </c:pt>
                <c:pt idx="3">
                  <c:v>-1.8558823529413182E-4</c:v>
                </c:pt>
                <c:pt idx="4">
                  <c:v>-2.9705882353014967E-5</c:v>
                </c:pt>
                <c:pt idx="5">
                  <c:v>1.7852941176471626E-4</c:v>
                </c:pt>
                <c:pt idx="6">
                  <c:v>1.414705882352707E-4</c:v>
                </c:pt>
                <c:pt idx="7">
                  <c:v>-3.7647058823531143E-5</c:v>
                </c:pt>
                <c:pt idx="8">
                  <c:v>1.6999999999994797E-4</c:v>
                </c:pt>
                <c:pt idx="9">
                  <c:v>3.2147058823528418E-4</c:v>
                </c:pt>
                <c:pt idx="10">
                  <c:v>7.1647058823537391E-4</c:v>
                </c:pt>
              </c:numCache>
            </c:numRef>
          </c:val>
        </c:ser>
        <c:dLbls>
          <c:showLegendKey val="0"/>
          <c:showVal val="0"/>
          <c:showCatName val="0"/>
          <c:showSerName val="0"/>
          <c:showPercent val="0"/>
          <c:showBubbleSize val="0"/>
        </c:dLbls>
        <c:gapWidth val="150"/>
        <c:overlap val="100"/>
        <c:axId val="-1834887808"/>
        <c:axId val="-23570448"/>
      </c:barChart>
      <c:catAx>
        <c:axId val="-1834887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3570448"/>
        <c:crosses val="autoZero"/>
        <c:auto val="1"/>
        <c:lblAlgn val="ctr"/>
        <c:lblOffset val="100"/>
        <c:noMultiLvlLbl val="0"/>
      </c:catAx>
      <c:valAx>
        <c:axId val="-2357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34887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Alligator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spPr>
            <a:solidFill>
              <a:schemeClr val="accent1"/>
            </a:solidFill>
            <a:ln>
              <a:noFill/>
            </a:ln>
            <a:effectLst/>
            <a:sp3d/>
          </c:spPr>
          <c:cat>
            <c:strRef>
              <c:f>'Cálculos Alligator'!$I$47:$I$70</c:f>
              <c:strCache>
                <c:ptCount val="24"/>
                <c:pt idx="0">
                  <c:v>13-Apr-2017</c:v>
                </c:pt>
                <c:pt idx="1">
                  <c:v>12-Apr-2017</c:v>
                </c:pt>
                <c:pt idx="2">
                  <c:v>11-Apr-2017</c:v>
                </c:pt>
                <c:pt idx="3">
                  <c:v>10-Apr-2017</c:v>
                </c:pt>
                <c:pt idx="4">
                  <c:v>07-Apr-2017</c:v>
                </c:pt>
                <c:pt idx="5">
                  <c:v>06-Apr-2017</c:v>
                </c:pt>
                <c:pt idx="6">
                  <c:v>05-Apr-2017</c:v>
                </c:pt>
                <c:pt idx="7">
                  <c:v>04-Apr-2017</c:v>
                </c:pt>
                <c:pt idx="8">
                  <c:v>03-Apr-2017</c:v>
                </c:pt>
                <c:pt idx="9">
                  <c:v>31-mar-17</c:v>
                </c:pt>
                <c:pt idx="10">
                  <c:v>30-mar-17</c:v>
                </c:pt>
                <c:pt idx="11">
                  <c:v>29-mar-17</c:v>
                </c:pt>
                <c:pt idx="12">
                  <c:v>28-mar-17</c:v>
                </c:pt>
                <c:pt idx="13">
                  <c:v>27-mar-17</c:v>
                </c:pt>
                <c:pt idx="14">
                  <c:v>24-mar-17</c:v>
                </c:pt>
                <c:pt idx="15">
                  <c:v>23-mar-17</c:v>
                </c:pt>
                <c:pt idx="16">
                  <c:v>22-mar-17</c:v>
                </c:pt>
                <c:pt idx="17">
                  <c:v>21-mar-17</c:v>
                </c:pt>
                <c:pt idx="18">
                  <c:v>20-mar-17</c:v>
                </c:pt>
                <c:pt idx="19">
                  <c:v>17-mar-17</c:v>
                </c:pt>
                <c:pt idx="20">
                  <c:v>16-mar-17</c:v>
                </c:pt>
                <c:pt idx="21">
                  <c:v>15-mar-17</c:v>
                </c:pt>
                <c:pt idx="22">
                  <c:v>14-mar-17</c:v>
                </c:pt>
                <c:pt idx="23">
                  <c:v>13-mar-17</c:v>
                </c:pt>
              </c:strCache>
            </c:strRef>
          </c:cat>
          <c:val>
            <c:numRef>
              <c:f>'Cálculos Alligator'!$K$47:$K$70</c:f>
              <c:numCache>
                <c:formatCode>General</c:formatCode>
                <c:ptCount val="24"/>
                <c:pt idx="0">
                  <c:v>0.36939877353962663</c:v>
                </c:pt>
                <c:pt idx="1">
                  <c:v>0.36960518558929201</c:v>
                </c:pt>
                <c:pt idx="2">
                  <c:v>0.36982535844226838</c:v>
                </c:pt>
                <c:pt idx="3">
                  <c:v>0.37007968114717421</c:v>
                </c:pt>
                <c:pt idx="4">
                  <c:v>0.37043074118814462</c:v>
                </c:pt>
                <c:pt idx="5">
                  <c:v>0.37084113900992782</c:v>
                </c:pt>
                <c:pt idx="6">
                  <c:v>0.37129849051030966</c:v>
                </c:pt>
                <c:pt idx="7">
                  <c:v>0.371740430130722</c:v>
                </c:pt>
                <c:pt idx="8">
                  <c:v>0.37215669805283547</c:v>
                </c:pt>
                <c:pt idx="9">
                  <c:v>0.37258742405513268</c:v>
                </c:pt>
                <c:pt idx="10">
                  <c:v>0.37309367060309329</c:v>
                </c:pt>
                <c:pt idx="11">
                  <c:v>0.37372908348895489</c:v>
                </c:pt>
                <c:pt idx="12">
                  <c:v>0.37439303766340265</c:v>
                </c:pt>
                <c:pt idx="13">
                  <c:v>0.37492951332989749</c:v>
                </c:pt>
                <c:pt idx="14">
                  <c:v>0.37552281962600298</c:v>
                </c:pt>
                <c:pt idx="15">
                  <c:v>0.37616827960400318</c:v>
                </c:pt>
                <c:pt idx="16">
                  <c:v>0.37701004707925334</c:v>
                </c:pt>
                <c:pt idx="17">
                  <c:v>0.37803071688453688</c:v>
                </c:pt>
                <c:pt idx="18">
                  <c:v>0.37903648237628956</c:v>
                </c:pt>
                <c:pt idx="19">
                  <c:v>0.3799277502513887</c:v>
                </c:pt>
                <c:pt idx="20">
                  <c:v>0.3809342294390044</c:v>
                </c:pt>
                <c:pt idx="21">
                  <c:v>0.38211915938800484</c:v>
                </c:pt>
                <c:pt idx="22">
                  <c:v>0.38337607532680529</c:v>
                </c:pt>
                <c:pt idx="23">
                  <c:v>0.38489008369645039</c:v>
                </c:pt>
              </c:numCache>
            </c:numRef>
          </c:val>
          <c:smooth val="0"/>
        </c:ser>
        <c:ser>
          <c:idx val="1"/>
          <c:order val="1"/>
          <c:spPr>
            <a:solidFill>
              <a:schemeClr val="accent2"/>
            </a:solidFill>
            <a:ln>
              <a:noFill/>
            </a:ln>
            <a:effectLst/>
            <a:sp3d/>
          </c:spPr>
          <c:cat>
            <c:strRef>
              <c:f>'Cálculos Alligator'!$I$47:$I$70</c:f>
              <c:strCache>
                <c:ptCount val="24"/>
                <c:pt idx="0">
                  <c:v>13-Apr-2017</c:v>
                </c:pt>
                <c:pt idx="1">
                  <c:v>12-Apr-2017</c:v>
                </c:pt>
                <c:pt idx="2">
                  <c:v>11-Apr-2017</c:v>
                </c:pt>
                <c:pt idx="3">
                  <c:v>10-Apr-2017</c:v>
                </c:pt>
                <c:pt idx="4">
                  <c:v>07-Apr-2017</c:v>
                </c:pt>
                <c:pt idx="5">
                  <c:v>06-Apr-2017</c:v>
                </c:pt>
                <c:pt idx="6">
                  <c:v>05-Apr-2017</c:v>
                </c:pt>
                <c:pt idx="7">
                  <c:v>04-Apr-2017</c:v>
                </c:pt>
                <c:pt idx="8">
                  <c:v>03-Apr-2017</c:v>
                </c:pt>
                <c:pt idx="9">
                  <c:v>31-mar-17</c:v>
                </c:pt>
                <c:pt idx="10">
                  <c:v>30-mar-17</c:v>
                </c:pt>
                <c:pt idx="11">
                  <c:v>29-mar-17</c:v>
                </c:pt>
                <c:pt idx="12">
                  <c:v>28-mar-17</c:v>
                </c:pt>
                <c:pt idx="13">
                  <c:v>27-mar-17</c:v>
                </c:pt>
                <c:pt idx="14">
                  <c:v>24-mar-17</c:v>
                </c:pt>
                <c:pt idx="15">
                  <c:v>23-mar-17</c:v>
                </c:pt>
                <c:pt idx="16">
                  <c:v>22-mar-17</c:v>
                </c:pt>
                <c:pt idx="17">
                  <c:v>21-mar-17</c:v>
                </c:pt>
                <c:pt idx="18">
                  <c:v>20-mar-17</c:v>
                </c:pt>
                <c:pt idx="19">
                  <c:v>17-mar-17</c:v>
                </c:pt>
                <c:pt idx="20">
                  <c:v>16-mar-17</c:v>
                </c:pt>
                <c:pt idx="21">
                  <c:v>15-mar-17</c:v>
                </c:pt>
                <c:pt idx="22">
                  <c:v>14-mar-17</c:v>
                </c:pt>
                <c:pt idx="23">
                  <c:v>13-mar-17</c:v>
                </c:pt>
              </c:strCache>
            </c:strRef>
          </c:cat>
          <c:val>
            <c:numRef>
              <c:f>'Cálculos Alligator'!$L$47:$L$70</c:f>
              <c:numCache>
                <c:formatCode>General</c:formatCode>
                <c:ptCount val="24"/>
                <c:pt idx="0">
                  <c:v>0.36939877353962663</c:v>
                </c:pt>
                <c:pt idx="1">
                  <c:v>0.36960518558929201</c:v>
                </c:pt>
                <c:pt idx="2">
                  <c:v>0.36982535844226838</c:v>
                </c:pt>
                <c:pt idx="3">
                  <c:v>0.37007968114717421</c:v>
                </c:pt>
                <c:pt idx="4">
                  <c:v>0.37043074118814462</c:v>
                </c:pt>
                <c:pt idx="5">
                  <c:v>0.37084113900992782</c:v>
                </c:pt>
                <c:pt idx="6">
                  <c:v>0.37129849051030966</c:v>
                </c:pt>
                <c:pt idx="7">
                  <c:v>0.371740430130722</c:v>
                </c:pt>
                <c:pt idx="8">
                  <c:v>0.37215669805283547</c:v>
                </c:pt>
                <c:pt idx="9">
                  <c:v>0.37258742405513268</c:v>
                </c:pt>
                <c:pt idx="10">
                  <c:v>0.37309367060309329</c:v>
                </c:pt>
                <c:pt idx="11">
                  <c:v>0.37372908348895489</c:v>
                </c:pt>
                <c:pt idx="12">
                  <c:v>0.37439303766340265</c:v>
                </c:pt>
                <c:pt idx="13">
                  <c:v>0.37492951332989749</c:v>
                </c:pt>
                <c:pt idx="14">
                  <c:v>0.37552281962600298</c:v>
                </c:pt>
                <c:pt idx="15">
                  <c:v>0.37616827960400318</c:v>
                </c:pt>
                <c:pt idx="16">
                  <c:v>0.37701004707925334</c:v>
                </c:pt>
                <c:pt idx="17">
                  <c:v>0.37803071688453688</c:v>
                </c:pt>
                <c:pt idx="18">
                  <c:v>0.37903648237628956</c:v>
                </c:pt>
                <c:pt idx="19">
                  <c:v>0.3799277502513887</c:v>
                </c:pt>
                <c:pt idx="20">
                  <c:v>0.3809342294390044</c:v>
                </c:pt>
                <c:pt idx="21">
                  <c:v>0.38211915938800484</c:v>
                </c:pt>
                <c:pt idx="22">
                  <c:v>0.38337607532680529</c:v>
                </c:pt>
                <c:pt idx="23">
                  <c:v>0.38489008369645039</c:v>
                </c:pt>
              </c:numCache>
            </c:numRef>
          </c:val>
          <c:smooth val="0"/>
        </c:ser>
        <c:ser>
          <c:idx val="2"/>
          <c:order val="2"/>
          <c:spPr>
            <a:solidFill>
              <a:schemeClr val="accent3"/>
            </a:solidFill>
            <a:ln>
              <a:noFill/>
            </a:ln>
            <a:effectLst/>
            <a:sp3d/>
          </c:spPr>
          <c:cat>
            <c:strRef>
              <c:f>'Cálculos Alligator'!$I$47:$I$70</c:f>
              <c:strCache>
                <c:ptCount val="24"/>
                <c:pt idx="0">
                  <c:v>13-Apr-2017</c:v>
                </c:pt>
                <c:pt idx="1">
                  <c:v>12-Apr-2017</c:v>
                </c:pt>
                <c:pt idx="2">
                  <c:v>11-Apr-2017</c:v>
                </c:pt>
                <c:pt idx="3">
                  <c:v>10-Apr-2017</c:v>
                </c:pt>
                <c:pt idx="4">
                  <c:v>07-Apr-2017</c:v>
                </c:pt>
                <c:pt idx="5">
                  <c:v>06-Apr-2017</c:v>
                </c:pt>
                <c:pt idx="6">
                  <c:v>05-Apr-2017</c:v>
                </c:pt>
                <c:pt idx="7">
                  <c:v>04-Apr-2017</c:v>
                </c:pt>
                <c:pt idx="8">
                  <c:v>03-Apr-2017</c:v>
                </c:pt>
                <c:pt idx="9">
                  <c:v>31-mar-17</c:v>
                </c:pt>
                <c:pt idx="10">
                  <c:v>30-mar-17</c:v>
                </c:pt>
                <c:pt idx="11">
                  <c:v>29-mar-17</c:v>
                </c:pt>
                <c:pt idx="12">
                  <c:v>28-mar-17</c:v>
                </c:pt>
                <c:pt idx="13">
                  <c:v>27-mar-17</c:v>
                </c:pt>
                <c:pt idx="14">
                  <c:v>24-mar-17</c:v>
                </c:pt>
                <c:pt idx="15">
                  <c:v>23-mar-17</c:v>
                </c:pt>
                <c:pt idx="16">
                  <c:v>22-mar-17</c:v>
                </c:pt>
                <c:pt idx="17">
                  <c:v>21-mar-17</c:v>
                </c:pt>
                <c:pt idx="18">
                  <c:v>20-mar-17</c:v>
                </c:pt>
                <c:pt idx="19">
                  <c:v>17-mar-17</c:v>
                </c:pt>
                <c:pt idx="20">
                  <c:v>16-mar-17</c:v>
                </c:pt>
                <c:pt idx="21">
                  <c:v>15-mar-17</c:v>
                </c:pt>
                <c:pt idx="22">
                  <c:v>14-mar-17</c:v>
                </c:pt>
                <c:pt idx="23">
                  <c:v>13-mar-17</c:v>
                </c:pt>
              </c:strCache>
            </c:strRef>
          </c:cat>
          <c:val>
            <c:numRef>
              <c:f>'Cálculos Alligator'!$M$47:$M$70</c:f>
              <c:numCache>
                <c:formatCode>General</c:formatCode>
                <c:ptCount val="24"/>
                <c:pt idx="0">
                  <c:v>0.37638428543816244</c:v>
                </c:pt>
                <c:pt idx="1">
                  <c:v>0.37660962453166358</c:v>
                </c:pt>
                <c:pt idx="2">
                  <c:v>0.37684310582974262</c:v>
                </c:pt>
                <c:pt idx="3">
                  <c:v>0.37708509711896587</c:v>
                </c:pt>
                <c:pt idx="4">
                  <c:v>0.37733529054652987</c:v>
                </c:pt>
                <c:pt idx="5">
                  <c:v>0.37759101459684041</c:v>
                </c:pt>
                <c:pt idx="6">
                  <c:v>0.377850625196337</c:v>
                </c:pt>
                <c:pt idx="7">
                  <c:v>0.3781127105837781</c:v>
                </c:pt>
                <c:pt idx="8">
                  <c:v>0.37837822226932216</c:v>
                </c:pt>
                <c:pt idx="9">
                  <c:v>0.37864872332221289</c:v>
                </c:pt>
                <c:pt idx="10">
                  <c:v>0.37892423692526206</c:v>
                </c:pt>
                <c:pt idx="11">
                  <c:v>0.37920188294060342</c:v>
                </c:pt>
                <c:pt idx="12">
                  <c:v>0.37947552291318581</c:v>
                </c:pt>
                <c:pt idx="13">
                  <c:v>0.37974302213685868</c:v>
                </c:pt>
                <c:pt idx="14">
                  <c:v>0.38001043929280098</c:v>
                </c:pt>
                <c:pt idx="15">
                  <c:v>0.38027441692025971</c:v>
                </c:pt>
                <c:pt idx="16">
                  <c:v>0.38053105050252573</c:v>
                </c:pt>
                <c:pt idx="17">
                  <c:v>0.38076578406407718</c:v>
                </c:pt>
                <c:pt idx="18">
                  <c:v>0.38096114600547298</c:v>
                </c:pt>
                <c:pt idx="19">
                  <c:v>0.38110919705387164</c:v>
                </c:pt>
                <c:pt idx="20">
                  <c:v>0.38120765095407849</c:v>
                </c:pt>
                <c:pt idx="21">
                  <c:v>0.38123250745544884</c:v>
                </c:pt>
                <c:pt idx="22">
                  <c:v>0.38114384226219328</c:v>
                </c:pt>
                <c:pt idx="23">
                  <c:v>0.38089581636612535</c:v>
                </c:pt>
              </c:numCache>
            </c:numRef>
          </c:val>
          <c:smooth val="0"/>
        </c:ser>
        <c:dLbls>
          <c:showLegendKey val="0"/>
          <c:showVal val="0"/>
          <c:showCatName val="0"/>
          <c:showSerName val="0"/>
          <c:showPercent val="0"/>
          <c:showBubbleSize val="0"/>
        </c:dLbls>
        <c:axId val="-1849661808"/>
        <c:axId val="-1849662352"/>
        <c:axId val="-1834992800"/>
      </c:line3DChart>
      <c:catAx>
        <c:axId val="-1849661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9662352"/>
        <c:crosses val="autoZero"/>
        <c:auto val="1"/>
        <c:lblAlgn val="ctr"/>
        <c:lblOffset val="100"/>
        <c:noMultiLvlLbl val="0"/>
      </c:catAx>
      <c:valAx>
        <c:axId val="-184966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9661808"/>
        <c:crosses val="autoZero"/>
        <c:crossBetween val="between"/>
      </c:valAx>
      <c:serAx>
        <c:axId val="-1834992800"/>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9662352"/>
        <c:crosses val="autoZero"/>
      </c:ser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tockChart>
        <c:ser>
          <c:idx val="0"/>
          <c:order val="0"/>
          <c:spPr>
            <a:ln w="19050" cap="rnd">
              <a:noFill/>
              <a:round/>
            </a:ln>
            <a:effectLst/>
          </c:spPr>
          <c:marker>
            <c:symbol val="none"/>
          </c:marker>
          <c:cat>
            <c:strRef>
              <c:f>'Cálculos Alligator'!$B$23:$B$46</c:f>
              <c:strCache>
                <c:ptCount val="24"/>
                <c:pt idx="0">
                  <c:v>13-Apr-2017</c:v>
                </c:pt>
                <c:pt idx="1">
                  <c:v>12-Apr-2017</c:v>
                </c:pt>
                <c:pt idx="2">
                  <c:v>11-Apr-2017</c:v>
                </c:pt>
                <c:pt idx="3">
                  <c:v>10-Apr-2017</c:v>
                </c:pt>
                <c:pt idx="4">
                  <c:v>07-Apr-2017</c:v>
                </c:pt>
                <c:pt idx="5">
                  <c:v>06-Apr-2017</c:v>
                </c:pt>
                <c:pt idx="6">
                  <c:v>05-Apr-2017</c:v>
                </c:pt>
                <c:pt idx="7">
                  <c:v>04-Apr-2017</c:v>
                </c:pt>
                <c:pt idx="8">
                  <c:v>03-Apr-2017</c:v>
                </c:pt>
                <c:pt idx="9">
                  <c:v>31-mar-17</c:v>
                </c:pt>
                <c:pt idx="10">
                  <c:v>30-mar-17</c:v>
                </c:pt>
                <c:pt idx="11">
                  <c:v>29-mar-17</c:v>
                </c:pt>
                <c:pt idx="12">
                  <c:v>28-mar-17</c:v>
                </c:pt>
                <c:pt idx="13">
                  <c:v>27-mar-17</c:v>
                </c:pt>
                <c:pt idx="14">
                  <c:v>24-mar-17</c:v>
                </c:pt>
                <c:pt idx="15">
                  <c:v>23-mar-17</c:v>
                </c:pt>
                <c:pt idx="16">
                  <c:v>22-mar-17</c:v>
                </c:pt>
                <c:pt idx="17">
                  <c:v>21-mar-17</c:v>
                </c:pt>
                <c:pt idx="18">
                  <c:v>20-mar-17</c:v>
                </c:pt>
                <c:pt idx="19">
                  <c:v>17-mar-17</c:v>
                </c:pt>
                <c:pt idx="20">
                  <c:v>16-mar-17</c:v>
                </c:pt>
                <c:pt idx="21">
                  <c:v>15-mar-17</c:v>
                </c:pt>
                <c:pt idx="22">
                  <c:v>14-mar-17</c:v>
                </c:pt>
                <c:pt idx="23">
                  <c:v>13-mar-17</c:v>
                </c:pt>
              </c:strCache>
            </c:strRef>
          </c:cat>
          <c:val>
            <c:numRef>
              <c:f>'Cálculos Alligator'!$C$23:$C$46</c:f>
              <c:numCache>
                <c:formatCode>General</c:formatCode>
                <c:ptCount val="24"/>
                <c:pt idx="0">
                  <c:v>0.3614</c:v>
                </c:pt>
                <c:pt idx="1">
                  <c:v>0.36299999999999999</c:v>
                </c:pt>
                <c:pt idx="2">
                  <c:v>0.3624</c:v>
                </c:pt>
                <c:pt idx="3">
                  <c:v>0.36259999999999998</c:v>
                </c:pt>
                <c:pt idx="4">
                  <c:v>0.36109999999999998</c:v>
                </c:pt>
                <c:pt idx="5">
                  <c:v>0.3594</c:v>
                </c:pt>
                <c:pt idx="6">
                  <c:v>0.35970000000000002</c:v>
                </c:pt>
                <c:pt idx="7">
                  <c:v>0.3579</c:v>
                </c:pt>
                <c:pt idx="8">
                  <c:v>0.35680000000000001</c:v>
                </c:pt>
                <c:pt idx="9">
                  <c:v>0.35620000000000002</c:v>
                </c:pt>
                <c:pt idx="10">
                  <c:v>0.35489999999999999</c:v>
                </c:pt>
                <c:pt idx="11">
                  <c:v>0.35649999999999998</c:v>
                </c:pt>
                <c:pt idx="12">
                  <c:v>0.35720000000000002</c:v>
                </c:pt>
                <c:pt idx="13">
                  <c:v>0.35659999999999997</c:v>
                </c:pt>
                <c:pt idx="14">
                  <c:v>0.35659999999999997</c:v>
                </c:pt>
                <c:pt idx="15">
                  <c:v>0.35470000000000002</c:v>
                </c:pt>
                <c:pt idx="16">
                  <c:v>0.35410000000000003</c:v>
                </c:pt>
                <c:pt idx="17">
                  <c:v>0.35220000000000001</c:v>
                </c:pt>
                <c:pt idx="18">
                  <c:v>0.35389999999999999</c:v>
                </c:pt>
                <c:pt idx="19">
                  <c:v>0.35489999999999999</c:v>
                </c:pt>
                <c:pt idx="20">
                  <c:v>0.3533</c:v>
                </c:pt>
                <c:pt idx="21">
                  <c:v>0.35980000000000001</c:v>
                </c:pt>
                <c:pt idx="22">
                  <c:v>0.35970000000000002</c:v>
                </c:pt>
                <c:pt idx="23">
                  <c:v>0.3609</c:v>
                </c:pt>
              </c:numCache>
            </c:numRef>
          </c:val>
          <c:smooth val="0"/>
        </c:ser>
        <c:ser>
          <c:idx val="1"/>
          <c:order val="1"/>
          <c:spPr>
            <a:ln w="19050" cap="rnd">
              <a:noFill/>
              <a:round/>
            </a:ln>
            <a:effectLst/>
          </c:spPr>
          <c:marker>
            <c:symbol val="none"/>
          </c:marker>
          <c:cat>
            <c:strRef>
              <c:f>'Cálculos Alligator'!$B$23:$B$46</c:f>
              <c:strCache>
                <c:ptCount val="24"/>
                <c:pt idx="0">
                  <c:v>13-Apr-2017</c:v>
                </c:pt>
                <c:pt idx="1">
                  <c:v>12-Apr-2017</c:v>
                </c:pt>
                <c:pt idx="2">
                  <c:v>11-Apr-2017</c:v>
                </c:pt>
                <c:pt idx="3">
                  <c:v>10-Apr-2017</c:v>
                </c:pt>
                <c:pt idx="4">
                  <c:v>07-Apr-2017</c:v>
                </c:pt>
                <c:pt idx="5">
                  <c:v>06-Apr-2017</c:v>
                </c:pt>
                <c:pt idx="6">
                  <c:v>05-Apr-2017</c:v>
                </c:pt>
                <c:pt idx="7">
                  <c:v>04-Apr-2017</c:v>
                </c:pt>
                <c:pt idx="8">
                  <c:v>03-Apr-2017</c:v>
                </c:pt>
                <c:pt idx="9">
                  <c:v>31-mar-17</c:v>
                </c:pt>
                <c:pt idx="10">
                  <c:v>30-mar-17</c:v>
                </c:pt>
                <c:pt idx="11">
                  <c:v>29-mar-17</c:v>
                </c:pt>
                <c:pt idx="12">
                  <c:v>28-mar-17</c:v>
                </c:pt>
                <c:pt idx="13">
                  <c:v>27-mar-17</c:v>
                </c:pt>
                <c:pt idx="14">
                  <c:v>24-mar-17</c:v>
                </c:pt>
                <c:pt idx="15">
                  <c:v>23-mar-17</c:v>
                </c:pt>
                <c:pt idx="16">
                  <c:v>22-mar-17</c:v>
                </c:pt>
                <c:pt idx="17">
                  <c:v>21-mar-17</c:v>
                </c:pt>
                <c:pt idx="18">
                  <c:v>20-mar-17</c:v>
                </c:pt>
                <c:pt idx="19">
                  <c:v>17-mar-17</c:v>
                </c:pt>
                <c:pt idx="20">
                  <c:v>16-mar-17</c:v>
                </c:pt>
                <c:pt idx="21">
                  <c:v>15-mar-17</c:v>
                </c:pt>
                <c:pt idx="22">
                  <c:v>14-mar-17</c:v>
                </c:pt>
                <c:pt idx="23">
                  <c:v>13-mar-17</c:v>
                </c:pt>
              </c:strCache>
            </c:strRef>
          </c:cat>
          <c:val>
            <c:numRef>
              <c:f>'Cálculos Alligator'!$D$23:$D$46</c:f>
              <c:numCache>
                <c:formatCode>General</c:formatCode>
                <c:ptCount val="24"/>
                <c:pt idx="0">
                  <c:v>0.3614</c:v>
                </c:pt>
                <c:pt idx="1">
                  <c:v>0.36349999999999999</c:v>
                </c:pt>
                <c:pt idx="2">
                  <c:v>0.36359999999999998</c:v>
                </c:pt>
                <c:pt idx="3">
                  <c:v>0.3634</c:v>
                </c:pt>
                <c:pt idx="4">
                  <c:v>0.36220000000000002</c:v>
                </c:pt>
                <c:pt idx="5">
                  <c:v>0.36080000000000001</c:v>
                </c:pt>
                <c:pt idx="6">
                  <c:v>0.35970000000000002</c:v>
                </c:pt>
                <c:pt idx="7">
                  <c:v>0.35980000000000001</c:v>
                </c:pt>
                <c:pt idx="8">
                  <c:v>0.3579</c:v>
                </c:pt>
                <c:pt idx="9">
                  <c:v>0.35630000000000001</c:v>
                </c:pt>
                <c:pt idx="10">
                  <c:v>0.35620000000000002</c:v>
                </c:pt>
                <c:pt idx="11">
                  <c:v>0.35649999999999998</c:v>
                </c:pt>
                <c:pt idx="12">
                  <c:v>0.35770000000000002</c:v>
                </c:pt>
                <c:pt idx="13">
                  <c:v>0.3574</c:v>
                </c:pt>
                <c:pt idx="14">
                  <c:v>0.35720000000000002</c:v>
                </c:pt>
                <c:pt idx="15">
                  <c:v>0.3569</c:v>
                </c:pt>
                <c:pt idx="16">
                  <c:v>0.35510000000000003</c:v>
                </c:pt>
                <c:pt idx="17">
                  <c:v>0.35410000000000003</c:v>
                </c:pt>
                <c:pt idx="18">
                  <c:v>0.35389999999999999</c:v>
                </c:pt>
                <c:pt idx="19">
                  <c:v>0.35489999999999999</c:v>
                </c:pt>
                <c:pt idx="20">
                  <c:v>0.35460000000000003</c:v>
                </c:pt>
                <c:pt idx="21">
                  <c:v>0.3599</c:v>
                </c:pt>
                <c:pt idx="22">
                  <c:v>0.36030000000000001</c:v>
                </c:pt>
                <c:pt idx="23">
                  <c:v>0.3609</c:v>
                </c:pt>
              </c:numCache>
            </c:numRef>
          </c:val>
          <c:smooth val="0"/>
        </c:ser>
        <c:ser>
          <c:idx val="2"/>
          <c:order val="2"/>
          <c:spPr>
            <a:ln w="19050" cap="rnd">
              <a:noFill/>
              <a:round/>
            </a:ln>
            <a:effectLst/>
          </c:spPr>
          <c:marker>
            <c:symbol val="none"/>
          </c:marker>
          <c:cat>
            <c:strRef>
              <c:f>'Cálculos Alligator'!$B$23:$B$46</c:f>
              <c:strCache>
                <c:ptCount val="24"/>
                <c:pt idx="0">
                  <c:v>13-Apr-2017</c:v>
                </c:pt>
                <c:pt idx="1">
                  <c:v>12-Apr-2017</c:v>
                </c:pt>
                <c:pt idx="2">
                  <c:v>11-Apr-2017</c:v>
                </c:pt>
                <c:pt idx="3">
                  <c:v>10-Apr-2017</c:v>
                </c:pt>
                <c:pt idx="4">
                  <c:v>07-Apr-2017</c:v>
                </c:pt>
                <c:pt idx="5">
                  <c:v>06-Apr-2017</c:v>
                </c:pt>
                <c:pt idx="6">
                  <c:v>05-Apr-2017</c:v>
                </c:pt>
                <c:pt idx="7">
                  <c:v>04-Apr-2017</c:v>
                </c:pt>
                <c:pt idx="8">
                  <c:v>03-Apr-2017</c:v>
                </c:pt>
                <c:pt idx="9">
                  <c:v>31-mar-17</c:v>
                </c:pt>
                <c:pt idx="10">
                  <c:v>30-mar-17</c:v>
                </c:pt>
                <c:pt idx="11">
                  <c:v>29-mar-17</c:v>
                </c:pt>
                <c:pt idx="12">
                  <c:v>28-mar-17</c:v>
                </c:pt>
                <c:pt idx="13">
                  <c:v>27-mar-17</c:v>
                </c:pt>
                <c:pt idx="14">
                  <c:v>24-mar-17</c:v>
                </c:pt>
                <c:pt idx="15">
                  <c:v>23-mar-17</c:v>
                </c:pt>
                <c:pt idx="16">
                  <c:v>22-mar-17</c:v>
                </c:pt>
                <c:pt idx="17">
                  <c:v>21-mar-17</c:v>
                </c:pt>
                <c:pt idx="18">
                  <c:v>20-mar-17</c:v>
                </c:pt>
                <c:pt idx="19">
                  <c:v>17-mar-17</c:v>
                </c:pt>
                <c:pt idx="20">
                  <c:v>16-mar-17</c:v>
                </c:pt>
                <c:pt idx="21">
                  <c:v>15-mar-17</c:v>
                </c:pt>
                <c:pt idx="22">
                  <c:v>14-mar-17</c:v>
                </c:pt>
                <c:pt idx="23">
                  <c:v>13-mar-17</c:v>
                </c:pt>
              </c:strCache>
            </c:strRef>
          </c:cat>
          <c:val>
            <c:numRef>
              <c:f>'Cálculos Alligator'!$E$23:$E$46</c:f>
              <c:numCache>
                <c:formatCode>General</c:formatCode>
                <c:ptCount val="24"/>
                <c:pt idx="0">
                  <c:v>0.35909999999999997</c:v>
                </c:pt>
                <c:pt idx="1">
                  <c:v>0.3614</c:v>
                </c:pt>
                <c:pt idx="2">
                  <c:v>0.3624</c:v>
                </c:pt>
                <c:pt idx="3">
                  <c:v>0.36259999999999998</c:v>
                </c:pt>
                <c:pt idx="4">
                  <c:v>0.36109999999999998</c:v>
                </c:pt>
                <c:pt idx="5">
                  <c:v>0.3594</c:v>
                </c:pt>
                <c:pt idx="6">
                  <c:v>0.3594</c:v>
                </c:pt>
                <c:pt idx="7">
                  <c:v>0.3579</c:v>
                </c:pt>
                <c:pt idx="8">
                  <c:v>0.35680000000000001</c:v>
                </c:pt>
                <c:pt idx="9">
                  <c:v>0.35599999999999998</c:v>
                </c:pt>
                <c:pt idx="10">
                  <c:v>0.35489999999999999</c:v>
                </c:pt>
                <c:pt idx="11">
                  <c:v>0.35499999999999998</c:v>
                </c:pt>
                <c:pt idx="12">
                  <c:v>0.35649999999999998</c:v>
                </c:pt>
                <c:pt idx="13">
                  <c:v>0.35659999999999997</c:v>
                </c:pt>
                <c:pt idx="14">
                  <c:v>0.35659999999999997</c:v>
                </c:pt>
                <c:pt idx="15">
                  <c:v>0.35470000000000002</c:v>
                </c:pt>
                <c:pt idx="16">
                  <c:v>0.35410000000000003</c:v>
                </c:pt>
                <c:pt idx="17">
                  <c:v>0.35189999999999999</c:v>
                </c:pt>
                <c:pt idx="18">
                  <c:v>0.35220000000000001</c:v>
                </c:pt>
                <c:pt idx="19">
                  <c:v>0.35360000000000003</c:v>
                </c:pt>
                <c:pt idx="20">
                  <c:v>0.3533</c:v>
                </c:pt>
                <c:pt idx="21">
                  <c:v>0.35320000000000001</c:v>
                </c:pt>
                <c:pt idx="22">
                  <c:v>0.35970000000000002</c:v>
                </c:pt>
                <c:pt idx="23">
                  <c:v>0.35920000000000002</c:v>
                </c:pt>
              </c:numCache>
            </c:numRef>
          </c:val>
          <c:smooth val="0"/>
        </c:ser>
        <c:ser>
          <c:idx val="3"/>
          <c:order val="3"/>
          <c:spPr>
            <a:ln w="19050" cap="rnd">
              <a:noFill/>
              <a:round/>
            </a:ln>
            <a:effectLst/>
          </c:spPr>
          <c:marker>
            <c:symbol val="none"/>
          </c:marker>
          <c:cat>
            <c:strRef>
              <c:f>'Cálculos Alligator'!$B$23:$B$46</c:f>
              <c:strCache>
                <c:ptCount val="24"/>
                <c:pt idx="0">
                  <c:v>13-Apr-2017</c:v>
                </c:pt>
                <c:pt idx="1">
                  <c:v>12-Apr-2017</c:v>
                </c:pt>
                <c:pt idx="2">
                  <c:v>11-Apr-2017</c:v>
                </c:pt>
                <c:pt idx="3">
                  <c:v>10-Apr-2017</c:v>
                </c:pt>
                <c:pt idx="4">
                  <c:v>07-Apr-2017</c:v>
                </c:pt>
                <c:pt idx="5">
                  <c:v>06-Apr-2017</c:v>
                </c:pt>
                <c:pt idx="6">
                  <c:v>05-Apr-2017</c:v>
                </c:pt>
                <c:pt idx="7">
                  <c:v>04-Apr-2017</c:v>
                </c:pt>
                <c:pt idx="8">
                  <c:v>03-Apr-2017</c:v>
                </c:pt>
                <c:pt idx="9">
                  <c:v>31-mar-17</c:v>
                </c:pt>
                <c:pt idx="10">
                  <c:v>30-mar-17</c:v>
                </c:pt>
                <c:pt idx="11">
                  <c:v>29-mar-17</c:v>
                </c:pt>
                <c:pt idx="12">
                  <c:v>28-mar-17</c:v>
                </c:pt>
                <c:pt idx="13">
                  <c:v>27-mar-17</c:v>
                </c:pt>
                <c:pt idx="14">
                  <c:v>24-mar-17</c:v>
                </c:pt>
                <c:pt idx="15">
                  <c:v>23-mar-17</c:v>
                </c:pt>
                <c:pt idx="16">
                  <c:v>22-mar-17</c:v>
                </c:pt>
                <c:pt idx="17">
                  <c:v>21-mar-17</c:v>
                </c:pt>
                <c:pt idx="18">
                  <c:v>20-mar-17</c:v>
                </c:pt>
                <c:pt idx="19">
                  <c:v>17-mar-17</c:v>
                </c:pt>
                <c:pt idx="20">
                  <c:v>16-mar-17</c:v>
                </c:pt>
                <c:pt idx="21">
                  <c:v>15-mar-17</c:v>
                </c:pt>
                <c:pt idx="22">
                  <c:v>14-mar-17</c:v>
                </c:pt>
                <c:pt idx="23">
                  <c:v>13-mar-17</c:v>
                </c:pt>
              </c:strCache>
            </c:strRef>
          </c:cat>
          <c:val>
            <c:numRef>
              <c:f>'Cálculos Alligator'!$F$23:$F$46</c:f>
              <c:numCache>
                <c:formatCode>General</c:formatCode>
                <c:ptCount val="24"/>
                <c:pt idx="0">
                  <c:v>0.35909999999999997</c:v>
                </c:pt>
                <c:pt idx="1">
                  <c:v>0.3614</c:v>
                </c:pt>
                <c:pt idx="2">
                  <c:v>0.36309999999999998</c:v>
                </c:pt>
                <c:pt idx="3">
                  <c:v>0.36280000000000001</c:v>
                </c:pt>
                <c:pt idx="4">
                  <c:v>0.36220000000000002</c:v>
                </c:pt>
                <c:pt idx="5">
                  <c:v>0.36080000000000001</c:v>
                </c:pt>
                <c:pt idx="6">
                  <c:v>0.35949999999999999</c:v>
                </c:pt>
                <c:pt idx="7">
                  <c:v>0.35980000000000001</c:v>
                </c:pt>
                <c:pt idx="8">
                  <c:v>0.3579</c:v>
                </c:pt>
                <c:pt idx="9">
                  <c:v>0.35630000000000001</c:v>
                </c:pt>
                <c:pt idx="10">
                  <c:v>0.35620000000000002</c:v>
                </c:pt>
                <c:pt idx="11">
                  <c:v>0.35499999999999998</c:v>
                </c:pt>
                <c:pt idx="12">
                  <c:v>0.35649999999999998</c:v>
                </c:pt>
                <c:pt idx="13">
                  <c:v>0.3574</c:v>
                </c:pt>
                <c:pt idx="14">
                  <c:v>0.35709999999999997</c:v>
                </c:pt>
                <c:pt idx="15">
                  <c:v>0.35680000000000001</c:v>
                </c:pt>
                <c:pt idx="16">
                  <c:v>0.35470000000000002</c:v>
                </c:pt>
                <c:pt idx="17">
                  <c:v>0.35410000000000003</c:v>
                </c:pt>
                <c:pt idx="18">
                  <c:v>0.35220000000000001</c:v>
                </c:pt>
                <c:pt idx="19">
                  <c:v>0.35360000000000003</c:v>
                </c:pt>
                <c:pt idx="20">
                  <c:v>0.35460000000000003</c:v>
                </c:pt>
                <c:pt idx="21">
                  <c:v>0.3533</c:v>
                </c:pt>
                <c:pt idx="22">
                  <c:v>0.36020000000000002</c:v>
                </c:pt>
                <c:pt idx="23">
                  <c:v>0.3594</c:v>
                </c:pt>
              </c:numCache>
            </c:numRef>
          </c:val>
          <c:smooth val="0"/>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849660720"/>
        <c:axId val="-1849660176"/>
      </c:stockChart>
      <c:catAx>
        <c:axId val="-184966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9660176"/>
        <c:crosses val="autoZero"/>
        <c:auto val="1"/>
        <c:lblAlgn val="ctr"/>
        <c:lblOffset val="100"/>
        <c:noMultiLvlLbl val="0"/>
      </c:catAx>
      <c:valAx>
        <c:axId val="-1849660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8496607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7.gif"/></Relationships>
</file>

<file path=xl/drawings/_rels/drawing6.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5</xdr:col>
      <xdr:colOff>114300</xdr:colOff>
      <xdr:row>0</xdr:row>
      <xdr:rowOff>0</xdr:rowOff>
    </xdr:from>
    <xdr:to>
      <xdr:col>6</xdr:col>
      <xdr:colOff>180975</xdr:colOff>
      <xdr:row>2</xdr:row>
      <xdr:rowOff>190500</xdr:rowOff>
    </xdr:to>
    <xdr:pic macro="[1]!TestGetFolderName">
      <xdr:nvPicPr>
        <xdr:cNvPr id="2" name="1 Imagen" descr="AllTopics.gif"/>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10525" y="0"/>
          <a:ext cx="6667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561974</xdr:colOff>
      <xdr:row>1</xdr:row>
      <xdr:rowOff>19049</xdr:rowOff>
    </xdr:from>
    <xdr:ext cx="1724026" cy="361951"/>
    <xdr:sp macro="[1]!ListFiles" textlink="">
      <xdr:nvSpPr>
        <xdr:cNvPr id="3" name="2 CuadroTexto"/>
        <xdr:cNvSpPr txBox="1"/>
      </xdr:nvSpPr>
      <xdr:spPr>
        <a:xfrm>
          <a:off x="5876924" y="209549"/>
          <a:ext cx="1724026" cy="361951"/>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wrap="square" rtlCol="0" anchor="ctr">
          <a:noAutofit/>
        </a:bodyPr>
        <a:lstStyle/>
        <a:p>
          <a:pPr algn="ctr"/>
          <a:r>
            <a:rPr lang="es-PE" sz="1400" b="1"/>
            <a:t>LISTAR ARCHIVOS</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8</xdr:col>
      <xdr:colOff>355170</xdr:colOff>
      <xdr:row>10</xdr:row>
      <xdr:rowOff>64577</xdr:rowOff>
    </xdr:from>
    <xdr:to>
      <xdr:col>19</xdr:col>
      <xdr:colOff>724345</xdr:colOff>
      <xdr:row>34</xdr:row>
      <xdr:rowOff>80720</xdr:rowOff>
    </xdr:to>
    <xdr:pic>
      <xdr:nvPicPr>
        <xdr:cNvPr id="2" name="Imagen 1"/>
        <xdr:cNvPicPr>
          <a:picLocks noChangeAspect="1"/>
        </xdr:cNvPicPr>
      </xdr:nvPicPr>
      <xdr:blipFill rotWithShape="1">
        <a:blip xmlns:r="http://schemas.openxmlformats.org/officeDocument/2006/relationships" r:embed="rId1"/>
        <a:srcRect l="15079" t="23444" r="11893" b="13602"/>
        <a:stretch/>
      </xdr:blipFill>
      <xdr:spPr>
        <a:xfrm>
          <a:off x="6451170" y="2245802"/>
          <a:ext cx="9484600" cy="4664343"/>
        </a:xfrm>
        <a:prstGeom prst="rect">
          <a:avLst/>
        </a:prstGeom>
      </xdr:spPr>
    </xdr:pic>
    <xdr:clientData/>
  </xdr:twoCellAnchor>
  <xdr:twoCellAnchor editAs="oneCell">
    <xdr:from>
      <xdr:col>8</xdr:col>
      <xdr:colOff>367629</xdr:colOff>
      <xdr:row>35</xdr:row>
      <xdr:rowOff>116977</xdr:rowOff>
    </xdr:from>
    <xdr:to>
      <xdr:col>19</xdr:col>
      <xdr:colOff>665714</xdr:colOff>
      <xdr:row>59</xdr:row>
      <xdr:rowOff>66846</xdr:rowOff>
    </xdr:to>
    <xdr:pic>
      <xdr:nvPicPr>
        <xdr:cNvPr id="3" name="Imagen 2"/>
        <xdr:cNvPicPr>
          <a:picLocks noChangeAspect="1"/>
        </xdr:cNvPicPr>
      </xdr:nvPicPr>
      <xdr:blipFill rotWithShape="1">
        <a:blip xmlns:r="http://schemas.openxmlformats.org/officeDocument/2006/relationships" r:embed="rId2"/>
        <a:srcRect l="15027" t="16804" r="12520" b="21421"/>
        <a:stretch/>
      </xdr:blipFill>
      <xdr:spPr>
        <a:xfrm>
          <a:off x="6463629" y="7136902"/>
          <a:ext cx="9413510" cy="4521869"/>
        </a:xfrm>
        <a:prstGeom prst="rect">
          <a:avLst/>
        </a:prstGeom>
      </xdr:spPr>
    </xdr:pic>
    <xdr:clientData/>
  </xdr:twoCellAnchor>
  <xdr:twoCellAnchor editAs="oneCell">
    <xdr:from>
      <xdr:col>8</xdr:col>
      <xdr:colOff>317499</xdr:colOff>
      <xdr:row>61</xdr:row>
      <xdr:rowOff>83552</xdr:rowOff>
    </xdr:from>
    <xdr:to>
      <xdr:col>19</xdr:col>
      <xdr:colOff>682428</xdr:colOff>
      <xdr:row>86</xdr:row>
      <xdr:rowOff>50131</xdr:rowOff>
    </xdr:to>
    <xdr:pic>
      <xdr:nvPicPr>
        <xdr:cNvPr id="4" name="Imagen 3"/>
        <xdr:cNvPicPr>
          <a:picLocks noChangeAspect="1"/>
        </xdr:cNvPicPr>
      </xdr:nvPicPr>
      <xdr:blipFill rotWithShape="1">
        <a:blip xmlns:r="http://schemas.openxmlformats.org/officeDocument/2006/relationships" r:embed="rId3"/>
        <a:srcRect l="14644" t="24217" r="11756" b="13412"/>
        <a:stretch/>
      </xdr:blipFill>
      <xdr:spPr>
        <a:xfrm>
          <a:off x="6413499" y="12056477"/>
          <a:ext cx="9480354" cy="4729079"/>
        </a:xfrm>
        <a:prstGeom prst="rect">
          <a:avLst/>
        </a:prstGeom>
      </xdr:spPr>
    </xdr:pic>
    <xdr:clientData/>
  </xdr:twoCellAnchor>
  <xdr:twoCellAnchor editAs="oneCell">
    <xdr:from>
      <xdr:col>8</xdr:col>
      <xdr:colOff>367631</xdr:colOff>
      <xdr:row>89</xdr:row>
      <xdr:rowOff>83552</xdr:rowOff>
    </xdr:from>
    <xdr:to>
      <xdr:col>19</xdr:col>
      <xdr:colOff>649007</xdr:colOff>
      <xdr:row>114</xdr:row>
      <xdr:rowOff>83553</xdr:rowOff>
    </xdr:to>
    <xdr:pic>
      <xdr:nvPicPr>
        <xdr:cNvPr id="5" name="Imagen 4"/>
        <xdr:cNvPicPr>
          <a:picLocks noChangeAspect="1"/>
        </xdr:cNvPicPr>
      </xdr:nvPicPr>
      <xdr:blipFill rotWithShape="1">
        <a:blip xmlns:r="http://schemas.openxmlformats.org/officeDocument/2006/relationships" r:embed="rId4"/>
        <a:srcRect l="14772" t="19877" r="12269" b="17296"/>
        <a:stretch/>
      </xdr:blipFill>
      <xdr:spPr>
        <a:xfrm>
          <a:off x="6463631" y="17390477"/>
          <a:ext cx="9396801" cy="4762501"/>
        </a:xfrm>
        <a:prstGeom prst="rect">
          <a:avLst/>
        </a:prstGeom>
      </xdr:spPr>
    </xdr:pic>
    <xdr:clientData/>
  </xdr:twoCellAnchor>
  <xdr:twoCellAnchor>
    <xdr:from>
      <xdr:col>4</xdr:col>
      <xdr:colOff>233947</xdr:colOff>
      <xdr:row>76</xdr:row>
      <xdr:rowOff>116973</xdr:rowOff>
    </xdr:from>
    <xdr:to>
      <xdr:col>5</xdr:col>
      <xdr:colOff>551447</xdr:colOff>
      <xdr:row>81</xdr:row>
      <xdr:rowOff>116974</xdr:rowOff>
    </xdr:to>
    <xdr:sp macro="" textlink="">
      <xdr:nvSpPr>
        <xdr:cNvPr id="6" name="Flecha arriba 5"/>
        <xdr:cNvSpPr/>
      </xdr:nvSpPr>
      <xdr:spPr>
        <a:xfrm>
          <a:off x="3281947" y="14947398"/>
          <a:ext cx="1079500" cy="952501"/>
        </a:xfrm>
        <a:prstGeom prst="up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150394</xdr:colOff>
      <xdr:row>94</xdr:row>
      <xdr:rowOff>83552</xdr:rowOff>
    </xdr:from>
    <xdr:to>
      <xdr:col>5</xdr:col>
      <xdr:colOff>467894</xdr:colOff>
      <xdr:row>99</xdr:row>
      <xdr:rowOff>83552</xdr:rowOff>
    </xdr:to>
    <xdr:sp macro="" textlink="">
      <xdr:nvSpPr>
        <xdr:cNvPr id="7" name="Flecha arriba 6"/>
        <xdr:cNvSpPr/>
      </xdr:nvSpPr>
      <xdr:spPr>
        <a:xfrm rot="10800000">
          <a:off x="3198394" y="18342977"/>
          <a:ext cx="1079500" cy="952500"/>
        </a:xfrm>
        <a:prstGeom prst="up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761999</xdr:colOff>
      <xdr:row>1</xdr:row>
      <xdr:rowOff>190500</xdr:rowOff>
    </xdr:from>
    <xdr:to>
      <xdr:col>16</xdr:col>
      <xdr:colOff>8254</xdr:colOff>
      <xdr:row>19</xdr:row>
      <xdr:rowOff>133350</xdr:rowOff>
    </xdr:to>
    <xdr:pic>
      <xdr:nvPicPr>
        <xdr:cNvPr id="2" name="Imagen 1" descr="oscilador acelerado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7999" y="381000"/>
          <a:ext cx="5342255" cy="3409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21</xdr:row>
      <xdr:rowOff>180975</xdr:rowOff>
    </xdr:from>
    <xdr:to>
      <xdr:col>4</xdr:col>
      <xdr:colOff>0</xdr:colOff>
      <xdr:row>22</xdr:row>
      <xdr:rowOff>0</xdr:rowOff>
    </xdr:to>
    <xdr:cxnSp macro="">
      <xdr:nvCxnSpPr>
        <xdr:cNvPr id="3" name="Conector recto de flecha 2"/>
        <xdr:cNvCxnSpPr/>
      </xdr:nvCxnSpPr>
      <xdr:spPr>
        <a:xfrm flipV="1">
          <a:off x="2286000" y="4229100"/>
          <a:ext cx="7620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21</xdr:row>
      <xdr:rowOff>171450</xdr:rowOff>
    </xdr:from>
    <xdr:to>
      <xdr:col>7</xdr:col>
      <xdr:colOff>0</xdr:colOff>
      <xdr:row>21</xdr:row>
      <xdr:rowOff>180975</xdr:rowOff>
    </xdr:to>
    <xdr:cxnSp macro="">
      <xdr:nvCxnSpPr>
        <xdr:cNvPr id="4" name="Conector recto de flecha 3"/>
        <xdr:cNvCxnSpPr/>
      </xdr:nvCxnSpPr>
      <xdr:spPr>
        <a:xfrm flipV="1">
          <a:off x="4572000" y="4219575"/>
          <a:ext cx="7620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26</xdr:row>
      <xdr:rowOff>0</xdr:rowOff>
    </xdr:from>
    <xdr:to>
      <xdr:col>3</xdr:col>
      <xdr:colOff>704850</xdr:colOff>
      <xdr:row>27</xdr:row>
      <xdr:rowOff>91308</xdr:rowOff>
    </xdr:to>
    <mc:AlternateContent xmlns:mc="http://schemas.openxmlformats.org/markup-compatibility/2006" xmlns:a14="http://schemas.microsoft.com/office/drawing/2010/main">
      <mc:Choice Requires="a14">
        <xdr:sp macro="" textlink="">
          <xdr:nvSpPr>
            <xdr:cNvPr id="5" name="CuadroTexto 3"/>
            <xdr:cNvSpPr txBox="1"/>
          </xdr:nvSpPr>
          <xdr:spPr>
            <a:xfrm>
              <a:off x="762000" y="5010150"/>
              <a:ext cx="2228850" cy="281808"/>
            </a:xfrm>
            <a:prstGeom prst="rect">
              <a:avLst/>
            </a:prstGeom>
            <a:noFill/>
          </xdr:spPr>
          <xdr:txBody>
            <a:bodyPr wrap="square" lIns="0" tIns="0" rIns="0" bIns="0" rtlCol="0">
              <a:spAutoFit/>
            </a:bodyPr>
            <a:lstStyle/>
            <a:p>
              <a:pPr>
                <a:spcAft>
                  <a:spcPts val="0"/>
                </a:spcAft>
              </a:pPr>
              <a14:m>
                <m:oMath xmlns:m="http://schemas.openxmlformats.org/officeDocument/2006/math">
                  <m:r>
                    <a:rPr lang="es-MX" sz="1800" i="1"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𝐴𝑐</m:t>
                  </m:r>
                  <m:r>
                    <a:rPr lang="es-MX" sz="1800" i="1"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m:t>
                  </m:r>
                  <m:r>
                    <a:rPr lang="es-MX" sz="1800" i="1"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𝐴𝑂</m:t>
                  </m:r>
                </m:oMath>
              </a14:m>
              <a:r>
                <a:rPr lang="es-MX" sz="1800" kern="1200">
                  <a:solidFill>
                    <a:srgbClr val="000000"/>
                  </a:solidFill>
                  <a:effectLst/>
                  <a:latin typeface="Calibri" panose="020F0502020204030204" pitchFamily="34" charset="0"/>
                  <a:ea typeface="Times New Roman" panose="02020603050405020304" pitchFamily="18" charset="0"/>
                  <a:cs typeface="Times New Roman" panose="02020603050405020304" pitchFamily="18" charset="0"/>
                </a:rPr>
                <a:t>-</a:t>
              </a:r>
              <a14:m>
                <m:oMath xmlns:m="http://schemas.openxmlformats.org/officeDocument/2006/math">
                  <m:r>
                    <a:rPr lang="es-MX" sz="1800" i="1"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𝑆𝑀𝐴</m:t>
                  </m:r>
                  <m:d>
                    <m:dPr>
                      <m:begChr m:val="["/>
                      <m:endChr m:val="]"/>
                      <m:ctrlPr>
                        <a:rPr lang="es-MX" sz="1800" i="1"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ctrlPr>
                    </m:dPr>
                    <m:e>
                      <m:r>
                        <a:rPr lang="es-MX" sz="1800" i="1"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𝐴𝑂</m:t>
                      </m:r>
                      <m:r>
                        <a:rPr lang="es-MX" sz="1800" i="1"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,5</m:t>
                      </m:r>
                    </m:e>
                  </m:d>
                </m:oMath>
              </a14:m>
              <a:endParaRPr lang="es-MX" sz="1200">
                <a:effectLst/>
                <a:latin typeface="Times New Roman" panose="02020603050405020304" pitchFamily="18" charset="0"/>
                <a:ea typeface="Times New Roman" panose="02020603050405020304" pitchFamily="18" charset="0"/>
              </a:endParaRPr>
            </a:p>
          </xdr:txBody>
        </xdr:sp>
      </mc:Choice>
      <mc:Fallback xmlns="">
        <xdr:sp macro="" textlink="">
          <xdr:nvSpPr>
            <xdr:cNvPr id="5" name="CuadroTexto 3"/>
            <xdr:cNvSpPr txBox="1"/>
          </xdr:nvSpPr>
          <xdr:spPr>
            <a:xfrm>
              <a:off x="762000" y="5010150"/>
              <a:ext cx="2228850" cy="281808"/>
            </a:xfrm>
            <a:prstGeom prst="rect">
              <a:avLst/>
            </a:prstGeom>
            <a:noFill/>
          </xdr:spPr>
          <xdr:txBody>
            <a:bodyPr wrap="square" lIns="0" tIns="0" rIns="0" bIns="0" rtlCol="0">
              <a:spAutoFit/>
            </a:bodyPr>
            <a:lstStyle/>
            <a:p>
              <a:pPr>
                <a:spcAft>
                  <a:spcPts val="0"/>
                </a:spcAft>
              </a:pPr>
              <a:r>
                <a:rPr lang="es-MX" sz="1800" i="0"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a:t>𝐴𝑐=𝐴</a:t>
              </a:r>
              <a:r>
                <a:rPr lang="es-MX" sz="1800" b="0" i="0"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a:t>𝑂</a:t>
              </a:r>
              <a:r>
                <a:rPr lang="es-MX" sz="1800" kern="1200">
                  <a:solidFill>
                    <a:srgbClr val="000000"/>
                  </a:solidFill>
                  <a:effectLst/>
                  <a:latin typeface="Calibri" panose="020F0502020204030204" pitchFamily="34" charset="0"/>
                  <a:ea typeface="Times New Roman" panose="02020603050405020304" pitchFamily="18" charset="0"/>
                  <a:cs typeface="Times New Roman" panose="02020603050405020304" pitchFamily="18" charset="0"/>
                </a:rPr>
                <a:t>-</a:t>
              </a:r>
              <a:r>
                <a:rPr lang="es-MX" sz="1800" i="0"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a:t>𝑆𝑀𝐴</a:t>
              </a:r>
              <a:r>
                <a:rPr lang="es-MX" sz="1800" i="0" kern="1200">
                  <a:solidFill>
                    <a:srgbClr val="000000"/>
                  </a:solidFill>
                  <a:effectLst/>
                  <a:latin typeface="Cambria Math" panose="02040503050406030204" pitchFamily="18" charset="0"/>
                  <a:cs typeface="Times New Roman" panose="02020603050405020304" pitchFamily="18" charset="0"/>
                </a:rPr>
                <a:t>[</a:t>
              </a:r>
              <a:r>
                <a:rPr lang="es-MX" sz="1800" i="0" kern="120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a:t>𝐴𝑂,5]</a:t>
              </a:r>
              <a:endParaRPr lang="es-MX" sz="1200">
                <a:effectLst/>
                <a:latin typeface="Times New Roman" panose="02020603050405020304" pitchFamily="18" charset="0"/>
                <a:ea typeface="Times New Roman" panose="02020603050405020304" pitchFamily="18" charset="0"/>
              </a:endParaRP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647700</xdr:colOff>
      <xdr:row>47</xdr:row>
      <xdr:rowOff>157162</xdr:rowOff>
    </xdr:from>
    <xdr:to>
      <xdr:col>6</xdr:col>
      <xdr:colOff>647700</xdr:colOff>
      <xdr:row>62</xdr:row>
      <xdr:rowOff>42862</xdr:rowOff>
    </xdr:to>
    <xdr:graphicFrame macro="">
      <xdr:nvGraphicFramePr>
        <xdr:cNvPr id="7" name="Gráfico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719137</xdr:colOff>
      <xdr:row>47</xdr:row>
      <xdr:rowOff>147637</xdr:rowOff>
    </xdr:from>
    <xdr:to>
      <xdr:col>22</xdr:col>
      <xdr:colOff>719137</xdr:colOff>
      <xdr:row>62</xdr:row>
      <xdr:rowOff>33337</xdr:rowOff>
    </xdr:to>
    <xdr:graphicFrame macro="">
      <xdr:nvGraphicFramePr>
        <xdr:cNvPr id="8" name="Gráfico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28575</xdr:colOff>
      <xdr:row>4</xdr:row>
      <xdr:rowOff>66675</xdr:rowOff>
    </xdr:from>
    <xdr:to>
      <xdr:col>9</xdr:col>
      <xdr:colOff>704850</xdr:colOff>
      <xdr:row>5</xdr:row>
      <xdr:rowOff>114300</xdr:rowOff>
    </xdr:to>
    <xdr:sp macro="" textlink="">
      <xdr:nvSpPr>
        <xdr:cNvPr id="2" name="1 Flecha derecha"/>
        <xdr:cNvSpPr/>
      </xdr:nvSpPr>
      <xdr:spPr>
        <a:xfrm>
          <a:off x="11658600" y="1466850"/>
          <a:ext cx="676275" cy="87630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6</xdr:col>
      <xdr:colOff>287921</xdr:colOff>
      <xdr:row>6</xdr:row>
      <xdr:rowOff>85725</xdr:rowOff>
    </xdr:from>
    <xdr:to>
      <xdr:col>19</xdr:col>
      <xdr:colOff>135521</xdr:colOff>
      <xdr:row>14</xdr:row>
      <xdr:rowOff>132608</xdr:rowOff>
    </xdr:to>
    <xdr:pic>
      <xdr:nvPicPr>
        <xdr:cNvPr id="3" name="3 Imagen" descr="http://www.tecnicasdetrading.com/wp-content/uploads/2011/08/indicador_t%C3%A9cnico_alligator-1024x498.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31946" y="3305175"/>
          <a:ext cx="9753600" cy="4752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7</xdr:row>
          <xdr:rowOff>133350</xdr:rowOff>
        </xdr:from>
        <xdr:to>
          <xdr:col>10</xdr:col>
          <xdr:colOff>66675</xdr:colOff>
          <xdr:row>13</xdr:row>
          <xdr:rowOff>123825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285750</xdr:colOff>
      <xdr:row>10</xdr:row>
      <xdr:rowOff>114300</xdr:rowOff>
    </xdr:from>
    <xdr:to>
      <xdr:col>10</xdr:col>
      <xdr:colOff>466725</xdr:colOff>
      <xdr:row>15</xdr:row>
      <xdr:rowOff>142875</xdr:rowOff>
    </xdr:to>
    <xdr:sp macro="" textlink="">
      <xdr:nvSpPr>
        <xdr:cNvPr id="2" name="Flecha abajo 1"/>
        <xdr:cNvSpPr/>
      </xdr:nvSpPr>
      <xdr:spPr>
        <a:xfrm>
          <a:off x="7934325" y="2038350"/>
          <a:ext cx="180975" cy="9810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228600</xdr:colOff>
      <xdr:row>18</xdr:row>
      <xdr:rowOff>95250</xdr:rowOff>
    </xdr:from>
    <xdr:to>
      <xdr:col>9</xdr:col>
      <xdr:colOff>409575</xdr:colOff>
      <xdr:row>23</xdr:row>
      <xdr:rowOff>123825</xdr:rowOff>
    </xdr:to>
    <xdr:sp macro="" textlink="">
      <xdr:nvSpPr>
        <xdr:cNvPr id="4" name="Flecha abajo 3"/>
        <xdr:cNvSpPr/>
      </xdr:nvSpPr>
      <xdr:spPr>
        <a:xfrm>
          <a:off x="7115175" y="3543300"/>
          <a:ext cx="180975" cy="9810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361950</xdr:colOff>
      <xdr:row>60</xdr:row>
      <xdr:rowOff>61912</xdr:rowOff>
    </xdr:from>
    <xdr:to>
      <xdr:col>6</xdr:col>
      <xdr:colOff>361950</xdr:colOff>
      <xdr:row>74</xdr:row>
      <xdr:rowOff>138112</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352425</xdr:colOff>
      <xdr:row>46</xdr:row>
      <xdr:rowOff>14287</xdr:rowOff>
    </xdr:from>
    <xdr:to>
      <xdr:col>6</xdr:col>
      <xdr:colOff>352425</xdr:colOff>
      <xdr:row>60</xdr:row>
      <xdr:rowOff>90487</xdr:rowOff>
    </xdr:to>
    <xdr:graphicFrame macro="">
      <xdr:nvGraphicFramePr>
        <xdr:cNvPr id="6" name="Gráfico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lligator(Macros)%20(Recuper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r Archivos"/>
      <sheetName val="Hoja1"/>
      <sheetName val="Awesome Oscillator"/>
      <sheetName val="AO, AC Cálculos"/>
      <sheetName val="Accelerator Oscillator"/>
      <sheetName val="Alligator"/>
      <sheetName val="Ondas de Elliot"/>
      <sheetName val="Gator Oscillator"/>
      <sheetName val="Teoría de Dow"/>
    </sheetNames>
    <definedNames>
      <definedName name="ListFiles"/>
      <definedName name="TestGetFolderName"/>
    </defined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6.xml"/><Relationship Id="rId5" Type="http://schemas.openxmlformats.org/officeDocument/2006/relationships/comments" Target="../comments1.xml"/><Relationship Id="rId4" Type="http://schemas.openxmlformats.org/officeDocument/2006/relationships/image" Target="../media/image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H39"/>
  <sheetViews>
    <sheetView showGridLines="0" tabSelected="1" workbookViewId="0">
      <pane ySplit="4" topLeftCell="A23" activePane="bottomLeft" state="frozen"/>
      <selection activeCell="C17" sqref="C17"/>
      <selection pane="bottomLeft" activeCell="C39" sqref="C39"/>
    </sheetView>
  </sheetViews>
  <sheetFormatPr baseColWidth="10" defaultColWidth="9.140625" defaultRowHeight="15" x14ac:dyDescent="0.25"/>
  <cols>
    <col min="1" max="1" width="2" customWidth="1"/>
    <col min="2" max="2" width="47.28515625" customWidth="1"/>
    <col min="3" max="3" width="30.42578125" customWidth="1"/>
    <col min="4" max="4" width="16" customWidth="1"/>
    <col min="5" max="5" width="22.7109375" bestFit="1" customWidth="1"/>
    <col min="6" max="13" width="9" customWidth="1"/>
  </cols>
  <sheetData>
    <row r="1" spans="2:8" x14ac:dyDescent="0.25">
      <c r="B1" s="1" t="s">
        <v>0</v>
      </c>
      <c r="C1" s="70" t="s">
        <v>1</v>
      </c>
      <c r="D1" s="70"/>
      <c r="E1" s="70"/>
      <c r="H1" s="2" t="s">
        <v>2</v>
      </c>
    </row>
    <row r="2" spans="2:8" x14ac:dyDescent="0.25">
      <c r="B2" s="3" t="s">
        <v>3</v>
      </c>
      <c r="C2" s="4" t="b">
        <v>1</v>
      </c>
      <c r="D2" s="71"/>
      <c r="E2" s="5"/>
      <c r="G2" s="73"/>
      <c r="H2" s="6" t="s">
        <v>4</v>
      </c>
    </row>
    <row r="3" spans="2:8" ht="18.75" x14ac:dyDescent="0.3">
      <c r="B3" t="s">
        <v>5</v>
      </c>
      <c r="D3" s="72"/>
      <c r="E3" s="7"/>
      <c r="F3" s="8"/>
      <c r="G3" s="73"/>
    </row>
    <row r="4" spans="2:8" x14ac:dyDescent="0.25">
      <c r="B4" s="9" t="s">
        <v>6</v>
      </c>
      <c r="C4" s="9" t="s">
        <v>7</v>
      </c>
      <c r="D4" s="9" t="s">
        <v>8</v>
      </c>
      <c r="E4" s="10" t="s">
        <v>9</v>
      </c>
      <c r="F4" s="8"/>
    </row>
    <row r="5" spans="2:8" hidden="1" x14ac:dyDescent="0.25">
      <c r="E5" s="11"/>
    </row>
    <row r="6" spans="2:8" hidden="1" x14ac:dyDescent="0.25">
      <c r="E6" s="11"/>
    </row>
    <row r="7" spans="2:8" hidden="1" x14ac:dyDescent="0.25">
      <c r="C7" t="s">
        <v>174</v>
      </c>
      <c r="E7" s="11"/>
    </row>
    <row r="8" spans="2:8" hidden="1" x14ac:dyDescent="0.25">
      <c r="E8" s="11"/>
    </row>
    <row r="9" spans="2:8" hidden="1" x14ac:dyDescent="0.25">
      <c r="E9" s="11"/>
    </row>
    <row r="10" spans="2:8" hidden="1" x14ac:dyDescent="0.25">
      <c r="E10" s="11"/>
    </row>
    <row r="11" spans="2:8" x14ac:dyDescent="0.25">
      <c r="B11" t="s">
        <v>10</v>
      </c>
      <c r="C11" t="s">
        <v>11</v>
      </c>
      <c r="D11">
        <v>50666</v>
      </c>
      <c r="E11" s="11">
        <v>42835.747337962966</v>
      </c>
    </row>
    <row r="12" spans="2:8" x14ac:dyDescent="0.25">
      <c r="B12" t="s">
        <v>12</v>
      </c>
      <c r="C12" t="s">
        <v>13</v>
      </c>
      <c r="D12">
        <v>52635</v>
      </c>
      <c r="E12" s="11">
        <v>42835.747314814813</v>
      </c>
    </row>
    <row r="13" spans="2:8" x14ac:dyDescent="0.25">
      <c r="B13" t="s">
        <v>14</v>
      </c>
      <c r="C13" t="s">
        <v>15</v>
      </c>
      <c r="D13">
        <v>52621</v>
      </c>
      <c r="E13" s="11">
        <v>42835.747303240743</v>
      </c>
    </row>
    <row r="14" spans="2:8" x14ac:dyDescent="0.25">
      <c r="B14" t="s">
        <v>16</v>
      </c>
      <c r="C14" t="s">
        <v>17</v>
      </c>
      <c r="D14">
        <v>52733</v>
      </c>
      <c r="E14" s="11">
        <v>42835.747291666667</v>
      </c>
    </row>
    <row r="15" spans="2:8" x14ac:dyDescent="0.25">
      <c r="B15" t="s">
        <v>18</v>
      </c>
      <c r="C15" t="s">
        <v>19</v>
      </c>
      <c r="D15">
        <v>52778</v>
      </c>
      <c r="E15" s="11">
        <v>42835.74726851852</v>
      </c>
    </row>
    <row r="16" spans="2:8" x14ac:dyDescent="0.25">
      <c r="B16" t="s">
        <v>20</v>
      </c>
      <c r="C16" t="s">
        <v>21</v>
      </c>
      <c r="D16">
        <v>50301</v>
      </c>
      <c r="E16" s="11">
        <v>42835.747256944444</v>
      </c>
    </row>
    <row r="17" spans="2:5" x14ac:dyDescent="0.25">
      <c r="B17" t="s">
        <v>22</v>
      </c>
      <c r="C17" t="s">
        <v>23</v>
      </c>
      <c r="D17">
        <v>52704</v>
      </c>
      <c r="E17" s="11">
        <v>42835.747245370374</v>
      </c>
    </row>
    <row r="18" spans="2:5" x14ac:dyDescent="0.25">
      <c r="B18" t="s">
        <v>24</v>
      </c>
      <c r="C18" t="s">
        <v>25</v>
      </c>
      <c r="D18">
        <v>52052</v>
      </c>
      <c r="E18" s="11">
        <v>42835.747175925928</v>
      </c>
    </row>
    <row r="19" spans="2:5" x14ac:dyDescent="0.25">
      <c r="B19" t="s">
        <v>26</v>
      </c>
      <c r="C19" t="s">
        <v>27</v>
      </c>
      <c r="D19">
        <v>50901</v>
      </c>
      <c r="E19" s="11">
        <v>42835.747152777774</v>
      </c>
    </row>
    <row r="20" spans="2:5" x14ac:dyDescent="0.25">
      <c r="B20" t="s">
        <v>28</v>
      </c>
      <c r="C20" t="s">
        <v>29</v>
      </c>
      <c r="D20">
        <v>52742</v>
      </c>
      <c r="E20" s="11">
        <v>42835.747129629628</v>
      </c>
    </row>
    <row r="21" spans="2:5" x14ac:dyDescent="0.25">
      <c r="B21" t="s">
        <v>30</v>
      </c>
      <c r="C21" t="s">
        <v>31</v>
      </c>
      <c r="D21">
        <v>50832</v>
      </c>
      <c r="E21" s="11">
        <v>42835.747094907405</v>
      </c>
    </row>
    <row r="22" spans="2:5" x14ac:dyDescent="0.25">
      <c r="B22" t="s">
        <v>32</v>
      </c>
      <c r="C22" t="s">
        <v>33</v>
      </c>
      <c r="D22">
        <v>52632</v>
      </c>
      <c r="E22" s="11">
        <v>42835.747083333335</v>
      </c>
    </row>
    <row r="23" spans="2:5" x14ac:dyDescent="0.25">
      <c r="B23" t="s">
        <v>34</v>
      </c>
      <c r="C23" t="s">
        <v>35</v>
      </c>
      <c r="D23">
        <v>52625</v>
      </c>
      <c r="E23" s="11">
        <v>42835.747071759259</v>
      </c>
    </row>
    <row r="24" spans="2:5" x14ac:dyDescent="0.25">
      <c r="B24" t="s">
        <v>36</v>
      </c>
      <c r="C24" t="s">
        <v>37</v>
      </c>
      <c r="D24">
        <v>52669</v>
      </c>
      <c r="E24" s="11">
        <v>42835.747048611112</v>
      </c>
    </row>
    <row r="25" spans="2:5" x14ac:dyDescent="0.25">
      <c r="B25" t="s">
        <v>38</v>
      </c>
      <c r="C25" t="s">
        <v>39</v>
      </c>
      <c r="D25">
        <v>52747</v>
      </c>
      <c r="E25" s="11">
        <v>42835.747037037036</v>
      </c>
    </row>
    <row r="26" spans="2:5" x14ac:dyDescent="0.25">
      <c r="B26" t="s">
        <v>40</v>
      </c>
      <c r="C26" t="s">
        <v>41</v>
      </c>
      <c r="D26">
        <v>52661</v>
      </c>
      <c r="E26" s="11">
        <v>42835.747025462966</v>
      </c>
    </row>
    <row r="27" spans="2:5" x14ac:dyDescent="0.25">
      <c r="B27" t="s">
        <v>42</v>
      </c>
      <c r="C27" t="s">
        <v>43</v>
      </c>
      <c r="D27">
        <v>52765</v>
      </c>
      <c r="E27" s="11">
        <v>42835.747002314813</v>
      </c>
    </row>
    <row r="28" spans="2:5" x14ac:dyDescent="0.25">
      <c r="B28" t="s">
        <v>44</v>
      </c>
      <c r="C28" t="s">
        <v>45</v>
      </c>
      <c r="D28">
        <v>52660</v>
      </c>
      <c r="E28" s="11">
        <v>42835.746990740743</v>
      </c>
    </row>
    <row r="29" spans="2:5" x14ac:dyDescent="0.25">
      <c r="B29" t="s">
        <v>46</v>
      </c>
      <c r="C29" t="s">
        <v>47</v>
      </c>
      <c r="D29">
        <v>52695</v>
      </c>
      <c r="E29" s="11">
        <v>42835.746967592589</v>
      </c>
    </row>
    <row r="30" spans="2:5" x14ac:dyDescent="0.25">
      <c r="B30" t="s">
        <v>48</v>
      </c>
      <c r="C30" t="s">
        <v>49</v>
      </c>
      <c r="D30">
        <v>52804</v>
      </c>
      <c r="E30" s="11">
        <v>42835.746944444443</v>
      </c>
    </row>
    <row r="31" spans="2:5" x14ac:dyDescent="0.25">
      <c r="B31" t="s">
        <v>50</v>
      </c>
      <c r="C31" t="s">
        <v>51</v>
      </c>
      <c r="D31">
        <v>50620</v>
      </c>
      <c r="E31" s="11">
        <v>42837.406712962962</v>
      </c>
    </row>
    <row r="32" spans="2:5" x14ac:dyDescent="0.25">
      <c r="B32" t="s">
        <v>52</v>
      </c>
      <c r="C32" t="s">
        <v>53</v>
      </c>
      <c r="D32">
        <v>52687</v>
      </c>
      <c r="E32" s="11">
        <v>42837.406724537039</v>
      </c>
    </row>
    <row r="33" spans="2:5" x14ac:dyDescent="0.25">
      <c r="B33" t="s">
        <v>54</v>
      </c>
      <c r="C33" t="s">
        <v>55</v>
      </c>
      <c r="D33">
        <v>52647</v>
      </c>
      <c r="E33" s="11">
        <v>42846.404490740744</v>
      </c>
    </row>
    <row r="34" spans="2:5" x14ac:dyDescent="0.25">
      <c r="B34" t="s">
        <v>56</v>
      </c>
      <c r="C34" t="s">
        <v>57</v>
      </c>
      <c r="D34">
        <v>52696</v>
      </c>
      <c r="E34" s="11">
        <v>42846.404513888891</v>
      </c>
    </row>
    <row r="35" spans="2:5" x14ac:dyDescent="0.25">
      <c r="B35" t="s">
        <v>58</v>
      </c>
      <c r="C35" t="s">
        <v>59</v>
      </c>
      <c r="D35">
        <v>52574</v>
      </c>
      <c r="E35" s="11">
        <v>42846.40452546296</v>
      </c>
    </row>
    <row r="36" spans="2:5" x14ac:dyDescent="0.25">
      <c r="B36" t="s">
        <v>60</v>
      </c>
      <c r="C36" t="s">
        <v>61</v>
      </c>
      <c r="D36">
        <v>46201</v>
      </c>
      <c r="E36" s="11">
        <v>42846.404537037037</v>
      </c>
    </row>
    <row r="37" spans="2:5" x14ac:dyDescent="0.25">
      <c r="B37" t="s">
        <v>62</v>
      </c>
      <c r="C37" t="s">
        <v>63</v>
      </c>
      <c r="D37">
        <v>52703</v>
      </c>
      <c r="E37" s="11">
        <v>42846.404548611114</v>
      </c>
    </row>
    <row r="38" spans="2:5" x14ac:dyDescent="0.25">
      <c r="B38" t="s">
        <v>64</v>
      </c>
      <c r="C38" t="s">
        <v>65</v>
      </c>
      <c r="D38">
        <v>52661</v>
      </c>
      <c r="E38" s="11">
        <v>42846.40457175926</v>
      </c>
    </row>
    <row r="39" spans="2:5" x14ac:dyDescent="0.25">
      <c r="B39" t="s">
        <v>66</v>
      </c>
      <c r="C39" t="s">
        <v>67</v>
      </c>
      <c r="D39">
        <v>52701</v>
      </c>
      <c r="E39" s="11">
        <v>42846.404583333337</v>
      </c>
    </row>
  </sheetData>
  <mergeCells count="3">
    <mergeCell ref="C1:E1"/>
    <mergeCell ref="D2:D3"/>
    <mergeCell ref="G2:G3"/>
  </mergeCells>
  <dataValidations count="1">
    <dataValidation type="list" allowBlank="1" showInputMessage="1" showErrorMessage="1" sqref="C2">
      <formula1>"VERDADERO, FALSO"</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1:U115"/>
  <sheetViews>
    <sheetView showGridLines="0" zoomScale="68" zoomScaleNormal="68" workbookViewId="0">
      <selection activeCell="U7" sqref="U7"/>
    </sheetView>
  </sheetViews>
  <sheetFormatPr baseColWidth="10" defaultRowHeight="15" x14ac:dyDescent="0.25"/>
  <cols>
    <col min="19" max="19" width="22.42578125" customWidth="1"/>
  </cols>
  <sheetData>
    <row r="1" spans="2:21" ht="15.75" thickBot="1" x14ac:dyDescent="0.3"/>
    <row r="2" spans="2:21" ht="15.75" thickBot="1" x14ac:dyDescent="0.3">
      <c r="B2" s="12"/>
      <c r="C2" s="13"/>
      <c r="D2" s="13"/>
      <c r="E2" s="13"/>
      <c r="F2" s="13"/>
      <c r="G2" s="13"/>
      <c r="H2" s="13"/>
      <c r="I2" s="13"/>
      <c r="J2" s="13"/>
      <c r="K2" s="13"/>
      <c r="L2" s="13"/>
      <c r="M2" s="13"/>
      <c r="N2" s="13"/>
      <c r="O2" s="13"/>
      <c r="P2" s="13"/>
      <c r="Q2" s="13"/>
      <c r="R2" s="13"/>
      <c r="S2" s="13"/>
      <c r="T2" s="13"/>
      <c r="U2" s="14"/>
    </row>
    <row r="3" spans="2:21" x14ac:dyDescent="0.25">
      <c r="B3" s="15"/>
      <c r="C3" s="97" t="s">
        <v>68</v>
      </c>
      <c r="D3" s="98"/>
      <c r="E3" s="98"/>
      <c r="F3" s="98"/>
      <c r="G3" s="98"/>
      <c r="H3" s="99"/>
      <c r="I3" s="16"/>
      <c r="J3" s="16"/>
      <c r="K3" s="16"/>
      <c r="L3" s="16"/>
      <c r="M3" s="16"/>
      <c r="N3" s="16"/>
      <c r="O3" s="16"/>
      <c r="P3" s="16"/>
      <c r="Q3" s="16"/>
      <c r="R3" s="16"/>
      <c r="S3" s="16"/>
      <c r="T3" s="16"/>
      <c r="U3" s="17"/>
    </row>
    <row r="4" spans="2:21" ht="15.75" thickBot="1" x14ac:dyDescent="0.3">
      <c r="B4" s="15"/>
      <c r="C4" s="100"/>
      <c r="D4" s="101"/>
      <c r="E4" s="101"/>
      <c r="F4" s="101"/>
      <c r="G4" s="101"/>
      <c r="H4" s="102"/>
      <c r="I4" s="16"/>
      <c r="J4" s="16"/>
      <c r="K4" s="16"/>
      <c r="L4" s="16"/>
      <c r="M4" s="16"/>
      <c r="N4" s="16"/>
      <c r="O4" s="16"/>
      <c r="P4" s="16"/>
      <c r="Q4" s="16"/>
      <c r="R4" s="16"/>
      <c r="S4" s="16"/>
      <c r="T4" s="16"/>
      <c r="U4" s="17"/>
    </row>
    <row r="5" spans="2:21" x14ac:dyDescent="0.25">
      <c r="B5" s="15"/>
      <c r="C5" s="16"/>
      <c r="D5" s="16"/>
      <c r="E5" s="16"/>
      <c r="F5" s="16"/>
      <c r="G5" s="16"/>
      <c r="H5" s="16"/>
      <c r="I5" s="16"/>
      <c r="J5" s="16"/>
      <c r="K5" s="16"/>
      <c r="L5" s="16"/>
      <c r="M5" s="16"/>
      <c r="N5" s="16"/>
      <c r="O5" s="16"/>
      <c r="P5" s="16"/>
      <c r="Q5" s="16"/>
      <c r="R5" s="16"/>
      <c r="S5" s="16"/>
      <c r="T5" s="16"/>
      <c r="U5" s="17"/>
    </row>
    <row r="6" spans="2:21" x14ac:dyDescent="0.25">
      <c r="B6" s="15"/>
      <c r="C6" s="103" t="s">
        <v>69</v>
      </c>
      <c r="D6" s="103"/>
      <c r="E6" s="103"/>
      <c r="F6" s="103"/>
      <c r="G6" s="103"/>
      <c r="H6" s="103"/>
      <c r="I6" s="16"/>
      <c r="J6" s="16"/>
      <c r="K6" s="16"/>
      <c r="L6" s="16"/>
      <c r="M6" s="16"/>
      <c r="N6" s="104" t="s">
        <v>70</v>
      </c>
      <c r="O6" s="104"/>
      <c r="P6" s="104"/>
      <c r="Q6" s="104"/>
      <c r="R6" s="104"/>
      <c r="S6" s="104"/>
      <c r="T6" s="16"/>
      <c r="U6" s="17"/>
    </row>
    <row r="7" spans="2:21" x14ac:dyDescent="0.25">
      <c r="B7" s="15"/>
      <c r="C7" s="103"/>
      <c r="D7" s="103"/>
      <c r="E7" s="103"/>
      <c r="F7" s="103"/>
      <c r="G7" s="103"/>
      <c r="H7" s="103"/>
      <c r="I7" s="16"/>
      <c r="J7" s="105" t="s">
        <v>71</v>
      </c>
      <c r="K7" s="105"/>
      <c r="L7" s="105"/>
      <c r="M7" s="105"/>
      <c r="N7" s="104"/>
      <c r="O7" s="104"/>
      <c r="P7" s="104"/>
      <c r="Q7" s="104"/>
      <c r="R7" s="104"/>
      <c r="S7" s="104"/>
      <c r="T7" s="16"/>
      <c r="U7" s="17"/>
    </row>
    <row r="8" spans="2:21" ht="33" customHeight="1" x14ac:dyDescent="0.25">
      <c r="B8" s="15"/>
      <c r="C8" s="103"/>
      <c r="D8" s="103"/>
      <c r="E8" s="103"/>
      <c r="F8" s="103"/>
      <c r="G8" s="103"/>
      <c r="H8" s="103"/>
      <c r="I8" s="16"/>
      <c r="J8" s="105"/>
      <c r="K8" s="105"/>
      <c r="L8" s="105"/>
      <c r="M8" s="105"/>
      <c r="N8" s="16"/>
      <c r="O8" s="16"/>
      <c r="P8" s="16"/>
      <c r="Q8" s="16"/>
      <c r="R8" s="16"/>
      <c r="S8" s="16"/>
      <c r="T8" s="16"/>
      <c r="U8" s="17"/>
    </row>
    <row r="9" spans="2:21" ht="15.75" thickBot="1" x14ac:dyDescent="0.3">
      <c r="B9" s="15"/>
      <c r="C9" s="16"/>
      <c r="D9" s="16"/>
      <c r="E9" s="16"/>
      <c r="F9" s="16"/>
      <c r="G9" s="16"/>
      <c r="H9" s="16"/>
      <c r="I9" s="16"/>
      <c r="J9" s="105"/>
      <c r="K9" s="105"/>
      <c r="L9" s="105"/>
      <c r="M9" s="105"/>
      <c r="N9" s="106" t="s">
        <v>72</v>
      </c>
      <c r="O9" s="107"/>
      <c r="P9" s="107"/>
      <c r="Q9" s="107"/>
      <c r="R9" s="107"/>
      <c r="S9" s="107"/>
      <c r="T9" s="16"/>
      <c r="U9" s="17"/>
    </row>
    <row r="10" spans="2:21" ht="15.75" thickBot="1" x14ac:dyDescent="0.3">
      <c r="B10" s="15"/>
      <c r="C10" s="108" t="s">
        <v>73</v>
      </c>
      <c r="D10" s="109"/>
      <c r="E10" s="109"/>
      <c r="F10" s="109"/>
      <c r="G10" s="109"/>
      <c r="H10" s="110"/>
      <c r="I10" s="16"/>
      <c r="J10" s="105"/>
      <c r="K10" s="105"/>
      <c r="L10" s="105"/>
      <c r="M10" s="105"/>
      <c r="N10" s="107"/>
      <c r="O10" s="107"/>
      <c r="P10" s="107"/>
      <c r="Q10" s="107"/>
      <c r="R10" s="107"/>
      <c r="S10" s="107"/>
      <c r="T10" s="16"/>
      <c r="U10" s="17"/>
    </row>
    <row r="11" spans="2:21" x14ac:dyDescent="0.25">
      <c r="B11" s="15"/>
      <c r="C11" s="111" t="s">
        <v>74</v>
      </c>
      <c r="D11" s="112"/>
      <c r="E11" s="112"/>
      <c r="F11" s="112"/>
      <c r="G11" s="112"/>
      <c r="H11" s="113"/>
      <c r="I11" s="16"/>
      <c r="J11" s="16"/>
      <c r="K11" s="16"/>
      <c r="L11" s="16"/>
      <c r="M11" s="16"/>
      <c r="N11" s="16"/>
      <c r="O11" s="16"/>
      <c r="P11" s="16"/>
      <c r="Q11" s="16"/>
      <c r="R11" s="16"/>
      <c r="S11" s="16"/>
      <c r="T11" s="16"/>
      <c r="U11" s="17"/>
    </row>
    <row r="12" spans="2:21" x14ac:dyDescent="0.25">
      <c r="B12" s="15"/>
      <c r="C12" s="114" t="s">
        <v>75</v>
      </c>
      <c r="D12" s="115"/>
      <c r="E12" s="115"/>
      <c r="F12" s="115"/>
      <c r="G12" s="115"/>
      <c r="H12" s="116"/>
      <c r="I12" s="16"/>
      <c r="J12" s="16"/>
      <c r="K12" s="16"/>
      <c r="L12" s="16"/>
      <c r="M12" s="16"/>
      <c r="N12" s="16"/>
      <c r="O12" s="16"/>
      <c r="P12" s="16"/>
      <c r="Q12" s="16"/>
      <c r="R12" s="16"/>
      <c r="S12" s="16"/>
      <c r="T12" s="16"/>
      <c r="U12" s="17"/>
    </row>
    <row r="13" spans="2:21" ht="15.75" thickBot="1" x14ac:dyDescent="0.3">
      <c r="B13" s="15"/>
      <c r="C13" s="117"/>
      <c r="D13" s="118"/>
      <c r="E13" s="118"/>
      <c r="F13" s="118"/>
      <c r="G13" s="118"/>
      <c r="H13" s="119"/>
      <c r="I13" s="16"/>
      <c r="J13" s="18"/>
      <c r="K13" s="16"/>
      <c r="L13" s="16"/>
      <c r="M13" s="16"/>
      <c r="N13" s="16"/>
      <c r="O13" s="16"/>
      <c r="P13" s="16"/>
      <c r="Q13" s="16"/>
      <c r="R13" s="16"/>
      <c r="S13" s="16"/>
      <c r="T13" s="16"/>
      <c r="U13" s="17"/>
    </row>
    <row r="14" spans="2:21" ht="16.5" x14ac:dyDescent="0.25">
      <c r="B14" s="15"/>
      <c r="C14" s="111" t="s">
        <v>76</v>
      </c>
      <c r="D14" s="112"/>
      <c r="E14" s="112"/>
      <c r="F14" s="112"/>
      <c r="G14" s="112"/>
      <c r="H14" s="113"/>
      <c r="I14" s="16"/>
      <c r="J14" s="19"/>
      <c r="K14" s="16"/>
      <c r="L14" s="16"/>
      <c r="M14" s="16"/>
      <c r="N14" s="16"/>
      <c r="O14" s="16"/>
      <c r="P14" s="16"/>
      <c r="Q14" s="16"/>
      <c r="R14" s="16"/>
      <c r="S14" s="16"/>
      <c r="T14" s="16"/>
      <c r="U14" s="17"/>
    </row>
    <row r="15" spans="2:21" x14ac:dyDescent="0.25">
      <c r="B15" s="15"/>
      <c r="C15" s="120" t="s">
        <v>77</v>
      </c>
      <c r="D15" s="121"/>
      <c r="E15" s="121"/>
      <c r="F15" s="121"/>
      <c r="G15" s="121"/>
      <c r="H15" s="122"/>
      <c r="I15" s="16"/>
      <c r="J15" s="20"/>
      <c r="K15" s="16"/>
      <c r="L15" s="16"/>
      <c r="M15" s="16"/>
      <c r="N15" s="16"/>
      <c r="O15" s="16"/>
      <c r="P15" s="16"/>
      <c r="Q15" s="16"/>
      <c r="R15" s="16"/>
      <c r="S15" s="16"/>
      <c r="T15" s="16"/>
      <c r="U15" s="17"/>
    </row>
    <row r="16" spans="2:21" ht="15.75" thickBot="1" x14ac:dyDescent="0.3">
      <c r="B16" s="15"/>
      <c r="C16" s="123"/>
      <c r="D16" s="124"/>
      <c r="E16" s="124"/>
      <c r="F16" s="124"/>
      <c r="G16" s="124"/>
      <c r="H16" s="125"/>
      <c r="I16" s="16"/>
      <c r="J16" s="16"/>
      <c r="K16" s="16"/>
      <c r="L16" s="16"/>
      <c r="M16" s="16"/>
      <c r="N16" s="16"/>
      <c r="O16" s="16"/>
      <c r="P16" s="16"/>
      <c r="Q16" s="16"/>
      <c r="R16" s="16"/>
      <c r="S16" s="16"/>
      <c r="T16" s="16"/>
      <c r="U16" s="17"/>
    </row>
    <row r="17" spans="2:21" ht="15.75" thickBot="1" x14ac:dyDescent="0.3">
      <c r="B17" s="15"/>
      <c r="C17" s="16"/>
      <c r="D17" s="16"/>
      <c r="E17" s="16"/>
      <c r="F17" s="16"/>
      <c r="G17" s="16"/>
      <c r="H17" s="16"/>
      <c r="I17" s="16"/>
      <c r="J17" s="16"/>
      <c r="K17" s="16"/>
      <c r="L17" s="16"/>
      <c r="M17" s="16"/>
      <c r="N17" s="16"/>
      <c r="O17" s="16"/>
      <c r="P17" s="16"/>
      <c r="Q17" s="16"/>
      <c r="R17" s="16"/>
      <c r="S17" s="16"/>
      <c r="T17" s="16"/>
      <c r="U17" s="17"/>
    </row>
    <row r="18" spans="2:21" ht="15.75" thickBot="1" x14ac:dyDescent="0.3">
      <c r="B18" s="21"/>
      <c r="C18" s="108" t="s">
        <v>78</v>
      </c>
      <c r="D18" s="109"/>
      <c r="E18" s="109"/>
      <c r="F18" s="109"/>
      <c r="G18" s="109"/>
      <c r="H18" s="110"/>
      <c r="I18" s="16"/>
      <c r="J18" s="16"/>
      <c r="K18" s="16"/>
      <c r="L18" s="16"/>
      <c r="M18" s="16"/>
      <c r="N18" s="16"/>
      <c r="O18" s="16"/>
      <c r="P18" s="16"/>
      <c r="Q18" s="16"/>
      <c r="R18" s="16"/>
      <c r="S18" s="16"/>
      <c r="T18" s="16"/>
      <c r="U18" s="17"/>
    </row>
    <row r="19" spans="2:21" x14ac:dyDescent="0.25">
      <c r="B19" s="15"/>
      <c r="C19" s="85" t="s">
        <v>74</v>
      </c>
      <c r="D19" s="86"/>
      <c r="E19" s="86"/>
      <c r="F19" s="86"/>
      <c r="G19" s="86"/>
      <c r="H19" s="87"/>
      <c r="I19" s="16"/>
      <c r="J19" s="16"/>
      <c r="K19" s="16"/>
      <c r="L19" s="16"/>
      <c r="M19" s="16"/>
      <c r="N19" s="16"/>
      <c r="O19" s="16"/>
      <c r="P19" s="16"/>
      <c r="Q19" s="16"/>
      <c r="R19" s="16"/>
      <c r="S19" s="16"/>
      <c r="T19" s="16"/>
      <c r="U19" s="17"/>
    </row>
    <row r="20" spans="2:21" x14ac:dyDescent="0.25">
      <c r="B20" s="15"/>
      <c r="C20" s="79" t="s">
        <v>79</v>
      </c>
      <c r="D20" s="80"/>
      <c r="E20" s="80"/>
      <c r="F20" s="80"/>
      <c r="G20" s="80"/>
      <c r="H20" s="81"/>
      <c r="I20" s="16"/>
      <c r="J20" s="16"/>
      <c r="K20" s="16"/>
      <c r="L20" s="16"/>
      <c r="M20" s="16"/>
      <c r="N20" s="16"/>
      <c r="O20" s="16"/>
      <c r="P20" s="16"/>
      <c r="Q20" s="16"/>
      <c r="R20" s="16"/>
      <c r="S20" s="16"/>
      <c r="T20" s="16"/>
      <c r="U20" s="17"/>
    </row>
    <row r="21" spans="2:21" ht="15.75" thickBot="1" x14ac:dyDescent="0.3">
      <c r="B21" s="15"/>
      <c r="C21" s="82"/>
      <c r="D21" s="83"/>
      <c r="E21" s="83"/>
      <c r="F21" s="83"/>
      <c r="G21" s="83"/>
      <c r="H21" s="84"/>
      <c r="I21" s="16"/>
      <c r="J21" s="16"/>
      <c r="K21" s="16"/>
      <c r="L21" s="16"/>
      <c r="M21" s="16"/>
      <c r="N21" s="16"/>
      <c r="O21" s="16"/>
      <c r="P21" s="16"/>
      <c r="Q21" s="16"/>
      <c r="R21" s="16"/>
      <c r="S21" s="16"/>
      <c r="T21" s="16"/>
      <c r="U21" s="17"/>
    </row>
    <row r="22" spans="2:21" x14ac:dyDescent="0.25">
      <c r="B22" s="15"/>
      <c r="C22" s="85" t="s">
        <v>76</v>
      </c>
      <c r="D22" s="86"/>
      <c r="E22" s="86"/>
      <c r="F22" s="86"/>
      <c r="G22" s="86"/>
      <c r="H22" s="87"/>
      <c r="I22" s="16"/>
      <c r="J22" s="16"/>
      <c r="K22" s="16"/>
      <c r="L22" s="16"/>
      <c r="M22" s="16"/>
      <c r="N22" s="16"/>
      <c r="O22" s="16"/>
      <c r="P22" s="16"/>
      <c r="Q22" s="16"/>
      <c r="R22" s="16"/>
      <c r="S22" s="16"/>
      <c r="T22" s="16"/>
      <c r="U22" s="17"/>
    </row>
    <row r="23" spans="2:21" x14ac:dyDescent="0.25">
      <c r="B23" s="15"/>
      <c r="C23" s="88" t="s">
        <v>80</v>
      </c>
      <c r="D23" s="89"/>
      <c r="E23" s="89"/>
      <c r="F23" s="89"/>
      <c r="G23" s="89"/>
      <c r="H23" s="90"/>
      <c r="I23" s="16"/>
      <c r="J23" s="16"/>
      <c r="K23" s="16"/>
      <c r="L23" s="16"/>
      <c r="M23" s="16"/>
      <c r="N23" s="16"/>
      <c r="O23" s="16"/>
      <c r="P23" s="16"/>
      <c r="Q23" s="16"/>
      <c r="R23" s="16"/>
      <c r="S23" s="16"/>
      <c r="T23" s="16"/>
      <c r="U23" s="17"/>
    </row>
    <row r="24" spans="2:21" ht="15.75" thickBot="1" x14ac:dyDescent="0.3">
      <c r="B24" s="15"/>
      <c r="C24" s="91"/>
      <c r="D24" s="92"/>
      <c r="E24" s="92"/>
      <c r="F24" s="92"/>
      <c r="G24" s="92"/>
      <c r="H24" s="93"/>
      <c r="I24" s="16"/>
      <c r="J24" s="16"/>
      <c r="K24" s="16"/>
      <c r="L24" s="16"/>
      <c r="M24" s="16"/>
      <c r="N24" s="16"/>
      <c r="O24" s="16"/>
      <c r="P24" s="16"/>
      <c r="Q24" s="16"/>
      <c r="R24" s="16"/>
      <c r="S24" s="16"/>
      <c r="T24" s="16"/>
      <c r="U24" s="17"/>
    </row>
    <row r="25" spans="2:21" x14ac:dyDescent="0.25">
      <c r="B25" s="15"/>
      <c r="C25" s="16"/>
      <c r="D25" s="16"/>
      <c r="E25" s="16"/>
      <c r="F25" s="16"/>
      <c r="G25" s="16"/>
      <c r="H25" s="16"/>
      <c r="I25" s="16"/>
      <c r="J25" s="16"/>
      <c r="K25" s="16"/>
      <c r="L25" s="16"/>
      <c r="M25" s="16"/>
      <c r="N25" s="16"/>
      <c r="O25" s="16"/>
      <c r="P25" s="16"/>
      <c r="Q25" s="16"/>
      <c r="R25" s="16"/>
      <c r="S25" s="16"/>
      <c r="T25" s="16"/>
      <c r="U25" s="17"/>
    </row>
    <row r="26" spans="2:21" x14ac:dyDescent="0.25">
      <c r="B26" s="15"/>
      <c r="C26" s="94" t="s">
        <v>81</v>
      </c>
      <c r="D26" s="94"/>
      <c r="E26" s="16"/>
      <c r="F26" s="16"/>
      <c r="G26" s="16"/>
      <c r="H26" s="16"/>
      <c r="I26" s="16"/>
      <c r="J26" s="16"/>
      <c r="K26" s="16"/>
      <c r="L26" s="16"/>
      <c r="M26" s="16"/>
      <c r="N26" s="16"/>
      <c r="O26" s="16"/>
      <c r="P26" s="16"/>
      <c r="Q26" s="16"/>
      <c r="R26" s="16"/>
      <c r="S26" s="16"/>
      <c r="T26" s="16"/>
      <c r="U26" s="17"/>
    </row>
    <row r="27" spans="2:21" x14ac:dyDescent="0.25">
      <c r="B27" s="15"/>
      <c r="C27" s="16"/>
      <c r="D27" s="16"/>
      <c r="E27" s="16"/>
      <c r="F27" s="16"/>
      <c r="G27" s="16"/>
      <c r="H27" s="16"/>
      <c r="I27" s="16"/>
      <c r="J27" s="16"/>
      <c r="K27" s="16"/>
      <c r="L27" s="16"/>
      <c r="M27" s="16"/>
      <c r="N27" s="16"/>
      <c r="O27" s="16"/>
      <c r="P27" s="16"/>
      <c r="Q27" s="16"/>
      <c r="R27" s="16"/>
      <c r="S27" s="16"/>
      <c r="T27" s="16"/>
      <c r="U27" s="17"/>
    </row>
    <row r="28" spans="2:21" x14ac:dyDescent="0.25">
      <c r="B28" s="15"/>
      <c r="C28" s="95" t="s">
        <v>82</v>
      </c>
      <c r="D28" s="95"/>
      <c r="E28" s="96" t="s">
        <v>83</v>
      </c>
      <c r="F28" s="96"/>
      <c r="G28" s="96"/>
      <c r="H28" s="96"/>
      <c r="I28" s="16"/>
      <c r="J28" s="16"/>
      <c r="K28" s="16"/>
      <c r="L28" s="16"/>
      <c r="M28" s="16"/>
      <c r="N28" s="16"/>
      <c r="O28" s="16"/>
      <c r="P28" s="16"/>
      <c r="Q28" s="16"/>
      <c r="R28" s="16"/>
      <c r="S28" s="16"/>
      <c r="T28" s="16"/>
      <c r="U28" s="17"/>
    </row>
    <row r="29" spans="2:21" x14ac:dyDescent="0.25">
      <c r="B29" s="15"/>
      <c r="C29" s="95"/>
      <c r="D29" s="95"/>
      <c r="E29" s="96"/>
      <c r="F29" s="96"/>
      <c r="G29" s="96"/>
      <c r="H29" s="96"/>
      <c r="I29" s="16"/>
      <c r="J29" s="16"/>
      <c r="K29" s="16"/>
      <c r="L29" s="16"/>
      <c r="M29" s="16"/>
      <c r="N29" s="16"/>
      <c r="O29" s="16"/>
      <c r="P29" s="16"/>
      <c r="Q29" s="16"/>
      <c r="R29" s="16"/>
      <c r="S29" s="16"/>
      <c r="T29" s="16"/>
      <c r="U29" s="17"/>
    </row>
    <row r="30" spans="2:21" x14ac:dyDescent="0.25">
      <c r="B30" s="15"/>
      <c r="C30" s="95"/>
      <c r="D30" s="95"/>
      <c r="E30" s="96"/>
      <c r="F30" s="96"/>
      <c r="G30" s="96"/>
      <c r="H30" s="96"/>
      <c r="I30" s="16"/>
      <c r="J30" s="16"/>
      <c r="K30" s="16"/>
      <c r="L30" s="16"/>
      <c r="M30" s="16"/>
      <c r="N30" s="16"/>
      <c r="O30" s="16"/>
      <c r="P30" s="16"/>
      <c r="Q30" s="16"/>
      <c r="R30" s="16"/>
      <c r="S30" s="16"/>
      <c r="T30" s="16"/>
      <c r="U30" s="17"/>
    </row>
    <row r="31" spans="2:21" x14ac:dyDescent="0.25">
      <c r="B31" s="15"/>
      <c r="C31" s="95"/>
      <c r="D31" s="95"/>
      <c r="E31" s="96"/>
      <c r="F31" s="96"/>
      <c r="G31" s="96"/>
      <c r="H31" s="96"/>
      <c r="I31" s="16"/>
      <c r="J31" s="16"/>
      <c r="K31" s="16"/>
      <c r="L31" s="16"/>
      <c r="M31" s="16"/>
      <c r="N31" s="16"/>
      <c r="O31" s="16"/>
      <c r="P31" s="16"/>
      <c r="Q31" s="16"/>
      <c r="R31" s="16"/>
      <c r="S31" s="16"/>
      <c r="T31" s="16"/>
      <c r="U31" s="17"/>
    </row>
    <row r="32" spans="2:21" x14ac:dyDescent="0.25">
      <c r="B32" s="15"/>
      <c r="C32" s="16"/>
      <c r="D32" s="16"/>
      <c r="E32" s="16" t="s">
        <v>84</v>
      </c>
      <c r="F32" s="16"/>
      <c r="G32" s="16"/>
      <c r="H32" s="16"/>
      <c r="I32" s="16"/>
      <c r="J32" s="16"/>
      <c r="K32" s="16"/>
      <c r="L32" s="16"/>
      <c r="M32" s="16"/>
      <c r="N32" s="16"/>
      <c r="O32" s="16"/>
      <c r="P32" s="16"/>
      <c r="Q32" s="16"/>
      <c r="R32" s="16"/>
      <c r="S32" s="16"/>
      <c r="T32" s="16"/>
      <c r="U32" s="17"/>
    </row>
    <row r="33" spans="2:21" x14ac:dyDescent="0.25">
      <c r="B33" s="15"/>
      <c r="C33" s="16"/>
      <c r="D33" s="16"/>
      <c r="E33" s="16"/>
      <c r="F33" s="16"/>
      <c r="G33" s="16"/>
      <c r="H33" s="16"/>
      <c r="I33" s="16"/>
      <c r="J33" s="16"/>
      <c r="K33" s="16"/>
      <c r="L33" s="16"/>
      <c r="M33" s="16"/>
      <c r="N33" s="16"/>
      <c r="O33" s="16"/>
      <c r="P33" s="16"/>
      <c r="Q33" s="16"/>
      <c r="R33" s="16"/>
      <c r="S33" s="16"/>
      <c r="T33" s="16"/>
      <c r="U33" s="17"/>
    </row>
    <row r="34" spans="2:21" x14ac:dyDescent="0.25">
      <c r="B34" s="15"/>
      <c r="C34" s="16"/>
      <c r="D34" s="16"/>
      <c r="E34" s="16"/>
      <c r="F34" s="16"/>
      <c r="G34" s="16"/>
      <c r="H34" s="16"/>
      <c r="I34" s="16"/>
      <c r="J34" s="16"/>
      <c r="K34" s="16"/>
      <c r="L34" s="16"/>
      <c r="M34" s="16"/>
      <c r="N34" s="16"/>
      <c r="O34" s="16"/>
      <c r="P34" s="16"/>
      <c r="Q34" s="16"/>
      <c r="R34" s="16"/>
      <c r="S34" s="16"/>
      <c r="T34" s="16"/>
      <c r="U34" s="17"/>
    </row>
    <row r="35" spans="2:21" x14ac:dyDescent="0.25">
      <c r="B35" s="15"/>
      <c r="C35" s="16"/>
      <c r="D35" s="16"/>
      <c r="E35" s="16"/>
      <c r="F35" s="16"/>
      <c r="G35" s="16"/>
      <c r="H35" s="16"/>
      <c r="I35" s="16"/>
      <c r="J35" s="16"/>
      <c r="K35" s="16"/>
      <c r="L35" s="16"/>
      <c r="M35" s="16"/>
      <c r="N35" s="16"/>
      <c r="O35" s="16"/>
      <c r="P35" s="16"/>
      <c r="Q35" s="16"/>
      <c r="R35" s="16"/>
      <c r="S35" s="16"/>
      <c r="T35" s="16"/>
      <c r="U35" s="17"/>
    </row>
    <row r="36" spans="2:21" ht="15" customHeight="1" x14ac:dyDescent="0.25">
      <c r="B36" s="15"/>
      <c r="C36" s="16"/>
      <c r="D36" s="16"/>
      <c r="E36" s="16"/>
      <c r="F36" s="16"/>
      <c r="G36" s="16"/>
      <c r="H36" s="16"/>
      <c r="I36" s="16"/>
      <c r="J36" s="16"/>
      <c r="K36" s="16"/>
      <c r="L36" s="16"/>
      <c r="M36" s="16"/>
      <c r="N36" s="16"/>
      <c r="O36" s="16"/>
      <c r="P36" s="16"/>
      <c r="Q36" s="16"/>
      <c r="R36" s="16"/>
      <c r="S36" s="16"/>
      <c r="T36" s="16"/>
      <c r="U36" s="17"/>
    </row>
    <row r="37" spans="2:21" x14ac:dyDescent="0.25">
      <c r="B37" s="15"/>
      <c r="C37" s="16"/>
      <c r="D37" s="16"/>
      <c r="E37" s="16"/>
      <c r="F37" s="16"/>
      <c r="G37" s="16"/>
      <c r="H37" s="16"/>
      <c r="I37" s="16"/>
      <c r="J37" s="16"/>
      <c r="K37" s="16"/>
      <c r="L37" s="16"/>
      <c r="M37" s="16"/>
      <c r="N37" s="16"/>
      <c r="O37" s="16"/>
      <c r="P37" s="16"/>
      <c r="Q37" s="16"/>
      <c r="R37" s="16"/>
      <c r="S37" s="16"/>
      <c r="T37" s="16"/>
      <c r="U37" s="17"/>
    </row>
    <row r="38" spans="2:21" x14ac:dyDescent="0.25">
      <c r="B38" s="15"/>
      <c r="C38" s="16"/>
      <c r="D38" s="16"/>
      <c r="E38" s="16"/>
      <c r="F38" s="16"/>
      <c r="G38" s="16"/>
      <c r="H38" s="16"/>
      <c r="I38" s="16"/>
      <c r="J38" s="16"/>
      <c r="K38" s="16"/>
      <c r="L38" s="16"/>
      <c r="M38" s="16"/>
      <c r="N38" s="16"/>
      <c r="O38" s="16"/>
      <c r="P38" s="16"/>
      <c r="Q38" s="16"/>
      <c r="R38" s="16"/>
      <c r="S38" s="16"/>
      <c r="T38" s="16"/>
      <c r="U38" s="17"/>
    </row>
    <row r="39" spans="2:21" x14ac:dyDescent="0.25">
      <c r="B39" s="15"/>
      <c r="C39" s="16"/>
      <c r="D39" s="16"/>
      <c r="E39" s="16"/>
      <c r="F39" s="16"/>
      <c r="G39" s="16"/>
      <c r="H39" s="16"/>
      <c r="I39" s="16"/>
      <c r="J39" s="16"/>
      <c r="K39" s="16"/>
      <c r="L39" s="16"/>
      <c r="M39" s="16"/>
      <c r="N39" s="16"/>
      <c r="O39" s="16"/>
      <c r="P39" s="16"/>
      <c r="Q39" s="16"/>
      <c r="R39" s="16"/>
      <c r="S39" s="16"/>
      <c r="T39" s="16"/>
      <c r="U39" s="17"/>
    </row>
    <row r="40" spans="2:21" x14ac:dyDescent="0.25">
      <c r="B40" s="15"/>
      <c r="C40" s="77" t="s">
        <v>85</v>
      </c>
      <c r="D40" s="77"/>
      <c r="E40" s="78" t="s">
        <v>86</v>
      </c>
      <c r="F40" s="78"/>
      <c r="G40" s="78"/>
      <c r="H40" s="78"/>
      <c r="I40" s="16"/>
      <c r="J40" s="16"/>
      <c r="K40" s="16"/>
      <c r="L40" s="16"/>
      <c r="M40" s="16"/>
      <c r="N40" s="16"/>
      <c r="O40" s="16"/>
      <c r="P40" s="16"/>
      <c r="Q40" s="16"/>
      <c r="R40" s="16"/>
      <c r="S40" s="16"/>
      <c r="T40" s="16"/>
      <c r="U40" s="17"/>
    </row>
    <row r="41" spans="2:21" x14ac:dyDescent="0.25">
      <c r="B41" s="15"/>
      <c r="C41" s="77"/>
      <c r="D41" s="77"/>
      <c r="E41" s="78"/>
      <c r="F41" s="78"/>
      <c r="G41" s="78"/>
      <c r="H41" s="78"/>
      <c r="I41" s="16"/>
      <c r="J41" s="16"/>
      <c r="K41" s="16"/>
      <c r="L41" s="16"/>
      <c r="M41" s="16"/>
      <c r="N41" s="16"/>
      <c r="O41" s="16"/>
      <c r="P41" s="16"/>
      <c r="Q41" s="16"/>
      <c r="R41" s="16"/>
      <c r="S41" s="16"/>
      <c r="T41" s="16"/>
      <c r="U41" s="17"/>
    </row>
    <row r="42" spans="2:21" x14ac:dyDescent="0.25">
      <c r="B42" s="15"/>
      <c r="C42" s="77"/>
      <c r="D42" s="77"/>
      <c r="E42" s="78" t="s">
        <v>87</v>
      </c>
      <c r="F42" s="78"/>
      <c r="G42" s="78"/>
      <c r="H42" s="78"/>
      <c r="I42" s="16"/>
      <c r="J42" s="16"/>
      <c r="K42" s="16"/>
      <c r="L42" s="16"/>
      <c r="M42" s="16"/>
      <c r="N42" s="16"/>
      <c r="O42" s="16"/>
      <c r="P42" s="16"/>
      <c r="Q42" s="16"/>
      <c r="R42" s="16"/>
      <c r="S42" s="16"/>
      <c r="T42" s="16"/>
      <c r="U42" s="17"/>
    </row>
    <row r="43" spans="2:21" x14ac:dyDescent="0.25">
      <c r="B43" s="15"/>
      <c r="C43" s="77"/>
      <c r="D43" s="77"/>
      <c r="E43" s="78"/>
      <c r="F43" s="78"/>
      <c r="G43" s="78"/>
      <c r="H43" s="78"/>
      <c r="I43" s="16"/>
      <c r="J43" s="16"/>
      <c r="K43" s="16"/>
      <c r="L43" s="16"/>
      <c r="M43" s="16"/>
      <c r="N43" s="16"/>
      <c r="O43" s="16"/>
      <c r="P43" s="16"/>
      <c r="Q43" s="16"/>
      <c r="R43" s="16"/>
      <c r="S43" s="16"/>
      <c r="T43" s="16"/>
      <c r="U43" s="17"/>
    </row>
    <row r="44" spans="2:21" x14ac:dyDescent="0.25">
      <c r="B44" s="15"/>
      <c r="C44" s="77"/>
      <c r="D44" s="77"/>
      <c r="E44" s="78"/>
      <c r="F44" s="78"/>
      <c r="G44" s="78"/>
      <c r="H44" s="78"/>
      <c r="I44" s="16"/>
      <c r="J44" s="16"/>
      <c r="K44" s="16"/>
      <c r="L44" s="16"/>
      <c r="M44" s="16"/>
      <c r="N44" s="16"/>
      <c r="O44" s="16"/>
      <c r="P44" s="16"/>
      <c r="Q44" s="16"/>
      <c r="R44" s="16"/>
      <c r="S44" s="16"/>
      <c r="T44" s="16"/>
      <c r="U44" s="17"/>
    </row>
    <row r="45" spans="2:21" x14ac:dyDescent="0.25">
      <c r="B45" s="15"/>
      <c r="C45" s="77"/>
      <c r="D45" s="77"/>
      <c r="E45" s="78"/>
      <c r="F45" s="78"/>
      <c r="G45" s="78"/>
      <c r="H45" s="78"/>
      <c r="I45" s="16"/>
      <c r="J45" s="16"/>
      <c r="K45" s="16"/>
      <c r="L45" s="16"/>
      <c r="M45" s="16"/>
      <c r="N45" s="16"/>
      <c r="O45" s="16"/>
      <c r="P45" s="16"/>
      <c r="Q45" s="16"/>
      <c r="R45" s="16"/>
      <c r="S45" s="16"/>
      <c r="T45" s="16"/>
      <c r="U45" s="17"/>
    </row>
    <row r="46" spans="2:21" x14ac:dyDescent="0.25">
      <c r="B46" s="15"/>
      <c r="C46" s="77"/>
      <c r="D46" s="77"/>
      <c r="E46" s="78"/>
      <c r="F46" s="78"/>
      <c r="G46" s="78"/>
      <c r="H46" s="78"/>
      <c r="I46" s="16"/>
      <c r="J46" s="16"/>
      <c r="K46" s="16"/>
      <c r="L46" s="16"/>
      <c r="M46" s="16"/>
      <c r="N46" s="16"/>
      <c r="O46" s="16"/>
      <c r="P46" s="16"/>
      <c r="Q46" s="16"/>
      <c r="R46" s="16"/>
      <c r="S46" s="16"/>
      <c r="T46" s="16"/>
      <c r="U46" s="17"/>
    </row>
    <row r="47" spans="2:21" x14ac:dyDescent="0.25">
      <c r="B47" s="15"/>
      <c r="C47" s="77"/>
      <c r="D47" s="77"/>
      <c r="E47" s="78"/>
      <c r="F47" s="78"/>
      <c r="G47" s="78"/>
      <c r="H47" s="78"/>
      <c r="I47" s="16"/>
      <c r="J47" s="16"/>
      <c r="K47" s="16"/>
      <c r="L47" s="16"/>
      <c r="M47" s="16"/>
      <c r="N47" s="16"/>
      <c r="O47" s="16"/>
      <c r="P47" s="16"/>
      <c r="Q47" s="16"/>
      <c r="R47" s="16"/>
      <c r="S47" s="16"/>
      <c r="T47" s="16"/>
      <c r="U47" s="17"/>
    </row>
    <row r="48" spans="2:21" x14ac:dyDescent="0.25">
      <c r="B48" s="15"/>
      <c r="C48" s="77"/>
      <c r="D48" s="77"/>
      <c r="E48" s="78"/>
      <c r="F48" s="78"/>
      <c r="G48" s="78"/>
      <c r="H48" s="78"/>
      <c r="I48" s="16"/>
      <c r="J48" s="16"/>
      <c r="K48" s="16"/>
      <c r="L48" s="16"/>
      <c r="M48" s="16"/>
      <c r="N48" s="16"/>
      <c r="O48" s="16"/>
      <c r="P48" s="16"/>
      <c r="Q48" s="16"/>
      <c r="R48" s="16"/>
      <c r="S48" s="16"/>
      <c r="T48" s="16"/>
      <c r="U48" s="17"/>
    </row>
    <row r="49" spans="2:21" x14ac:dyDescent="0.25">
      <c r="B49" s="15"/>
      <c r="C49" s="77"/>
      <c r="D49" s="77"/>
      <c r="E49" s="78"/>
      <c r="F49" s="78"/>
      <c r="G49" s="78"/>
      <c r="H49" s="78"/>
      <c r="I49" s="16"/>
      <c r="J49" s="16"/>
      <c r="K49" s="16"/>
      <c r="L49" s="16"/>
      <c r="M49" s="16"/>
      <c r="N49" s="16"/>
      <c r="O49" s="16"/>
      <c r="P49" s="16"/>
      <c r="Q49" s="16"/>
      <c r="R49" s="16"/>
      <c r="S49" s="16"/>
      <c r="T49" s="16"/>
      <c r="U49" s="17"/>
    </row>
    <row r="50" spans="2:21" x14ac:dyDescent="0.25">
      <c r="B50" s="15"/>
      <c r="C50" s="77"/>
      <c r="D50" s="77"/>
      <c r="E50" s="78" t="s">
        <v>88</v>
      </c>
      <c r="F50" s="78"/>
      <c r="G50" s="78"/>
      <c r="H50" s="78"/>
      <c r="I50" s="16"/>
      <c r="J50" s="16"/>
      <c r="K50" s="16"/>
      <c r="L50" s="16"/>
      <c r="M50" s="16"/>
      <c r="N50" s="16"/>
      <c r="O50" s="16"/>
      <c r="P50" s="16"/>
      <c r="Q50" s="16"/>
      <c r="R50" s="16"/>
      <c r="S50" s="16"/>
      <c r="T50" s="16"/>
      <c r="U50" s="17"/>
    </row>
    <row r="51" spans="2:21" x14ac:dyDescent="0.25">
      <c r="B51" s="15"/>
      <c r="C51" s="77"/>
      <c r="D51" s="77"/>
      <c r="E51" s="78"/>
      <c r="F51" s="78"/>
      <c r="G51" s="78"/>
      <c r="H51" s="78"/>
      <c r="I51" s="16"/>
      <c r="J51" s="16"/>
      <c r="K51" s="16"/>
      <c r="L51" s="16"/>
      <c r="M51" s="16"/>
      <c r="N51" s="16"/>
      <c r="O51" s="16"/>
      <c r="P51" s="16"/>
      <c r="Q51" s="16"/>
      <c r="R51" s="16"/>
      <c r="S51" s="16"/>
      <c r="T51" s="16"/>
      <c r="U51" s="17"/>
    </row>
    <row r="52" spans="2:21" x14ac:dyDescent="0.25">
      <c r="B52" s="15"/>
      <c r="C52" s="77"/>
      <c r="D52" s="77"/>
      <c r="E52" s="78"/>
      <c r="F52" s="78"/>
      <c r="G52" s="78"/>
      <c r="H52" s="78"/>
      <c r="I52" s="16"/>
      <c r="J52" s="16"/>
      <c r="K52" s="16"/>
      <c r="L52" s="16"/>
      <c r="M52" s="16"/>
      <c r="N52" s="16"/>
      <c r="O52" s="16"/>
      <c r="P52" s="16"/>
      <c r="Q52" s="16"/>
      <c r="R52" s="16"/>
      <c r="S52" s="16"/>
      <c r="T52" s="16"/>
      <c r="U52" s="17"/>
    </row>
    <row r="53" spans="2:21" x14ac:dyDescent="0.25">
      <c r="B53" s="15"/>
      <c r="C53" s="77"/>
      <c r="D53" s="77"/>
      <c r="E53" s="78"/>
      <c r="F53" s="78"/>
      <c r="G53" s="78"/>
      <c r="H53" s="78"/>
      <c r="I53" s="16"/>
      <c r="J53" s="16"/>
      <c r="K53" s="16"/>
      <c r="L53" s="16"/>
      <c r="M53" s="16"/>
      <c r="N53" s="16"/>
      <c r="O53" s="16"/>
      <c r="P53" s="16"/>
      <c r="Q53" s="16"/>
      <c r="R53" s="16"/>
      <c r="S53" s="16"/>
      <c r="T53" s="16"/>
      <c r="U53" s="17"/>
    </row>
    <row r="54" spans="2:21" x14ac:dyDescent="0.25">
      <c r="B54" s="15"/>
      <c r="C54" s="77"/>
      <c r="D54" s="77"/>
      <c r="E54" s="78"/>
      <c r="F54" s="78"/>
      <c r="G54" s="78"/>
      <c r="H54" s="78"/>
      <c r="I54" s="16"/>
      <c r="J54" s="16"/>
      <c r="K54" s="16"/>
      <c r="L54" s="16"/>
      <c r="M54" s="16"/>
      <c r="N54" s="16"/>
      <c r="O54" s="16"/>
      <c r="P54" s="16"/>
      <c r="Q54" s="16"/>
      <c r="R54" s="16"/>
      <c r="S54" s="16"/>
      <c r="T54" s="16"/>
      <c r="U54" s="17"/>
    </row>
    <row r="55" spans="2:21" x14ac:dyDescent="0.25">
      <c r="B55" s="15"/>
      <c r="C55" s="77"/>
      <c r="D55" s="77"/>
      <c r="E55" s="78"/>
      <c r="F55" s="78"/>
      <c r="G55" s="78"/>
      <c r="H55" s="78"/>
      <c r="I55" s="16"/>
      <c r="J55" s="16"/>
      <c r="K55" s="16"/>
      <c r="L55" s="16"/>
      <c r="M55" s="16"/>
      <c r="N55" s="16"/>
      <c r="O55" s="16"/>
      <c r="P55" s="16"/>
      <c r="Q55" s="16"/>
      <c r="R55" s="16"/>
      <c r="S55" s="16"/>
      <c r="T55" s="16"/>
      <c r="U55" s="17"/>
    </row>
    <row r="56" spans="2:21" x14ac:dyDescent="0.25">
      <c r="B56" s="15"/>
      <c r="C56" s="77"/>
      <c r="D56" s="77"/>
      <c r="E56" s="78"/>
      <c r="F56" s="78"/>
      <c r="G56" s="78"/>
      <c r="H56" s="78"/>
      <c r="I56" s="16"/>
      <c r="J56" s="16"/>
      <c r="K56" s="16"/>
      <c r="L56" s="16"/>
      <c r="M56" s="16"/>
      <c r="N56" s="16"/>
      <c r="O56" s="16"/>
      <c r="P56" s="16"/>
      <c r="Q56" s="16"/>
      <c r="R56" s="16"/>
      <c r="S56" s="16"/>
      <c r="T56" s="16"/>
      <c r="U56" s="17"/>
    </row>
    <row r="57" spans="2:21" x14ac:dyDescent="0.25">
      <c r="B57" s="15"/>
      <c r="C57" s="16"/>
      <c r="D57" s="16"/>
      <c r="E57" s="16"/>
      <c r="F57" s="16"/>
      <c r="G57" s="16"/>
      <c r="H57" s="16"/>
      <c r="I57" s="16"/>
      <c r="J57" s="16"/>
      <c r="K57" s="16"/>
      <c r="L57" s="16"/>
      <c r="M57" s="16"/>
      <c r="N57" s="16"/>
      <c r="O57" s="16"/>
      <c r="P57" s="16"/>
      <c r="Q57" s="16"/>
      <c r="R57" s="16"/>
      <c r="S57" s="16"/>
      <c r="T57" s="16"/>
      <c r="U57" s="17"/>
    </row>
    <row r="58" spans="2:21" x14ac:dyDescent="0.25">
      <c r="B58" s="15"/>
      <c r="C58" s="16"/>
      <c r="D58" s="16"/>
      <c r="E58" s="16"/>
      <c r="F58" s="16"/>
      <c r="G58" s="16"/>
      <c r="H58" s="16"/>
      <c r="I58" s="16"/>
      <c r="J58" s="16"/>
      <c r="K58" s="16"/>
      <c r="L58" s="16"/>
      <c r="M58" s="16"/>
      <c r="N58" s="16"/>
      <c r="O58" s="16"/>
      <c r="P58" s="16"/>
      <c r="Q58" s="16"/>
      <c r="R58" s="16"/>
      <c r="S58" s="16"/>
      <c r="T58" s="16"/>
      <c r="U58" s="17"/>
    </row>
    <row r="59" spans="2:21" x14ac:dyDescent="0.25">
      <c r="B59" s="15"/>
      <c r="C59" s="16"/>
      <c r="D59" s="16"/>
      <c r="E59" s="16"/>
      <c r="F59" s="16"/>
      <c r="G59" s="16"/>
      <c r="H59" s="16"/>
      <c r="I59" s="16"/>
      <c r="J59" s="16"/>
      <c r="K59" s="16"/>
      <c r="L59" s="16"/>
      <c r="M59" s="16"/>
      <c r="N59" s="16"/>
      <c r="O59" s="16"/>
      <c r="P59" s="16"/>
      <c r="Q59" s="16"/>
      <c r="R59" s="16"/>
      <c r="S59" s="16"/>
      <c r="T59" s="16"/>
      <c r="U59" s="17"/>
    </row>
    <row r="60" spans="2:21" x14ac:dyDescent="0.25">
      <c r="B60" s="15"/>
      <c r="C60" s="16"/>
      <c r="D60" s="16"/>
      <c r="E60" s="16"/>
      <c r="F60" s="16"/>
      <c r="G60" s="16"/>
      <c r="H60" s="16"/>
      <c r="I60" s="16"/>
      <c r="J60" s="16"/>
      <c r="K60" s="16"/>
      <c r="L60" s="16"/>
      <c r="M60" s="16"/>
      <c r="N60" s="16"/>
      <c r="O60" s="16"/>
      <c r="P60" s="16"/>
      <c r="Q60" s="16"/>
      <c r="R60" s="16"/>
      <c r="S60" s="16"/>
      <c r="T60" s="16"/>
      <c r="U60" s="17"/>
    </row>
    <row r="61" spans="2:21" x14ac:dyDescent="0.25">
      <c r="B61" s="15"/>
      <c r="C61" s="16"/>
      <c r="D61" s="16"/>
      <c r="E61" s="16"/>
      <c r="F61" s="16"/>
      <c r="G61" s="16"/>
      <c r="H61" s="16"/>
      <c r="I61" s="16"/>
      <c r="J61" s="16"/>
      <c r="K61" s="16"/>
      <c r="L61" s="75" t="s">
        <v>89</v>
      </c>
      <c r="M61" s="75"/>
      <c r="N61" s="75"/>
      <c r="O61" s="75"/>
      <c r="P61" s="75"/>
      <c r="Q61" s="75"/>
      <c r="R61" s="16"/>
      <c r="S61" s="16"/>
      <c r="T61" s="16"/>
      <c r="U61" s="17"/>
    </row>
    <row r="62" spans="2:21" x14ac:dyDescent="0.25">
      <c r="B62" s="15"/>
      <c r="C62" s="16"/>
      <c r="D62" s="16"/>
      <c r="E62" s="16"/>
      <c r="F62" s="16"/>
      <c r="G62" s="16"/>
      <c r="H62" s="16"/>
      <c r="I62" s="16"/>
      <c r="J62" s="16"/>
      <c r="K62" s="16"/>
      <c r="L62" s="16"/>
      <c r="M62" s="16"/>
      <c r="N62" s="16"/>
      <c r="O62" s="16"/>
      <c r="P62" s="16"/>
      <c r="Q62" s="16"/>
      <c r="R62" s="16"/>
      <c r="S62" s="16"/>
      <c r="T62" s="16"/>
      <c r="U62" s="17"/>
    </row>
    <row r="63" spans="2:21" x14ac:dyDescent="0.25">
      <c r="B63" s="15"/>
      <c r="C63" s="16"/>
      <c r="D63" s="16"/>
      <c r="E63" s="16"/>
      <c r="F63" s="16"/>
      <c r="G63" s="16"/>
      <c r="H63" s="16"/>
      <c r="I63" s="16"/>
      <c r="J63" s="16"/>
      <c r="K63" s="16"/>
      <c r="L63" s="16"/>
      <c r="M63" s="16"/>
      <c r="N63" s="16"/>
      <c r="O63" s="16"/>
      <c r="P63" s="16"/>
      <c r="Q63" s="16"/>
      <c r="R63" s="16"/>
      <c r="S63" s="16"/>
      <c r="T63" s="16"/>
      <c r="U63" s="17"/>
    </row>
    <row r="64" spans="2:21" x14ac:dyDescent="0.25">
      <c r="B64" s="15"/>
      <c r="C64" s="16"/>
      <c r="D64" s="16"/>
      <c r="E64" s="16"/>
      <c r="F64" s="16"/>
      <c r="G64" s="16"/>
      <c r="H64" s="16"/>
      <c r="I64" s="16"/>
      <c r="J64" s="16"/>
      <c r="K64" s="16"/>
      <c r="L64" s="16"/>
      <c r="M64" s="16"/>
      <c r="N64" s="16"/>
      <c r="O64" s="16"/>
      <c r="P64" s="16"/>
      <c r="Q64" s="16"/>
      <c r="R64" s="16"/>
      <c r="S64" s="16"/>
      <c r="T64" s="16"/>
      <c r="U64" s="17"/>
    </row>
    <row r="65" spans="2:21" x14ac:dyDescent="0.25">
      <c r="B65" s="15"/>
      <c r="C65" s="16"/>
      <c r="D65" s="16"/>
      <c r="E65" s="16"/>
      <c r="F65" s="16"/>
      <c r="G65" s="16"/>
      <c r="H65" s="16"/>
      <c r="I65" s="16"/>
      <c r="J65" s="16"/>
      <c r="K65" s="16"/>
      <c r="L65" s="16"/>
      <c r="M65" s="16"/>
      <c r="N65" s="16"/>
      <c r="O65" s="16"/>
      <c r="P65" s="16"/>
      <c r="Q65" s="16"/>
      <c r="R65" s="16"/>
      <c r="S65" s="16"/>
      <c r="T65" s="16"/>
      <c r="U65" s="17"/>
    </row>
    <row r="66" spans="2:21" x14ac:dyDescent="0.25">
      <c r="B66" s="15"/>
      <c r="C66" s="16"/>
      <c r="D66" s="16"/>
      <c r="E66" s="16"/>
      <c r="F66" s="16"/>
      <c r="G66" s="16"/>
      <c r="H66" s="16"/>
      <c r="I66" s="16"/>
      <c r="J66" s="16"/>
      <c r="K66" s="16"/>
      <c r="L66" s="16"/>
      <c r="M66" s="16"/>
      <c r="N66" s="16"/>
      <c r="O66" s="16"/>
      <c r="P66" s="16"/>
      <c r="Q66" s="16"/>
      <c r="R66" s="16"/>
      <c r="S66" s="16"/>
      <c r="T66" s="16"/>
      <c r="U66" s="17"/>
    </row>
    <row r="67" spans="2:21" x14ac:dyDescent="0.25">
      <c r="B67" s="15"/>
      <c r="C67" s="16"/>
      <c r="D67" s="16"/>
      <c r="E67" s="16"/>
      <c r="F67" s="16"/>
      <c r="G67" s="16"/>
      <c r="H67" s="16"/>
      <c r="I67" s="16"/>
      <c r="J67" s="16"/>
      <c r="K67" s="16"/>
      <c r="L67" s="16"/>
      <c r="M67" s="16"/>
      <c r="N67" s="16"/>
      <c r="O67" s="16"/>
      <c r="P67" s="16"/>
      <c r="Q67" s="16"/>
      <c r="R67" s="16"/>
      <c r="S67" s="16"/>
      <c r="T67" s="16"/>
      <c r="U67" s="17"/>
    </row>
    <row r="68" spans="2:21" x14ac:dyDescent="0.25">
      <c r="B68" s="15"/>
      <c r="C68" s="16"/>
      <c r="D68" s="16"/>
      <c r="E68" s="16"/>
      <c r="F68" s="16"/>
      <c r="G68" s="16"/>
      <c r="H68" s="16"/>
      <c r="I68" s="16"/>
      <c r="J68" s="16"/>
      <c r="K68" s="16"/>
      <c r="L68" s="16"/>
      <c r="M68" s="16"/>
      <c r="N68" s="16"/>
      <c r="O68" s="16"/>
      <c r="P68" s="16"/>
      <c r="Q68" s="16"/>
      <c r="R68" s="16"/>
      <c r="S68" s="16"/>
      <c r="T68" s="16"/>
      <c r="U68" s="17"/>
    </row>
    <row r="69" spans="2:21" x14ac:dyDescent="0.25">
      <c r="B69" s="15"/>
      <c r="C69" s="76" t="s">
        <v>90</v>
      </c>
      <c r="D69" s="76"/>
      <c r="E69" s="76"/>
      <c r="F69" s="76"/>
      <c r="G69" s="76"/>
      <c r="H69" s="76"/>
      <c r="I69" s="16"/>
      <c r="J69" s="16"/>
      <c r="K69" s="16"/>
      <c r="L69" s="16"/>
      <c r="M69" s="16"/>
      <c r="N69" s="16"/>
      <c r="O69" s="16"/>
      <c r="P69" s="16"/>
      <c r="Q69" s="16"/>
      <c r="R69" s="16"/>
      <c r="S69" s="16"/>
      <c r="T69" s="16"/>
      <c r="U69" s="17"/>
    </row>
    <row r="70" spans="2:21" x14ac:dyDescent="0.25">
      <c r="B70" s="15"/>
      <c r="C70" s="76"/>
      <c r="D70" s="76"/>
      <c r="E70" s="76"/>
      <c r="F70" s="76"/>
      <c r="G70" s="76"/>
      <c r="H70" s="76"/>
      <c r="I70" s="16"/>
      <c r="J70" s="16"/>
      <c r="K70" s="16"/>
      <c r="L70" s="16"/>
      <c r="M70" s="16"/>
      <c r="N70" s="16"/>
      <c r="O70" s="16"/>
      <c r="P70" s="16"/>
      <c r="Q70" s="16"/>
      <c r="R70" s="16"/>
      <c r="S70" s="16"/>
      <c r="T70" s="16"/>
      <c r="U70" s="17"/>
    </row>
    <row r="71" spans="2:21" x14ac:dyDescent="0.25">
      <c r="B71" s="15"/>
      <c r="C71" s="76"/>
      <c r="D71" s="76"/>
      <c r="E71" s="76"/>
      <c r="F71" s="76"/>
      <c r="G71" s="76"/>
      <c r="H71" s="76"/>
      <c r="I71" s="16"/>
      <c r="J71" s="16"/>
      <c r="K71" s="16"/>
      <c r="L71" s="16"/>
      <c r="M71" s="16"/>
      <c r="N71" s="16"/>
      <c r="O71" s="16"/>
      <c r="P71" s="16"/>
      <c r="Q71" s="16"/>
      <c r="R71" s="16"/>
      <c r="S71" s="16"/>
      <c r="T71" s="16"/>
      <c r="U71" s="17"/>
    </row>
    <row r="72" spans="2:21" x14ac:dyDescent="0.25">
      <c r="B72" s="15"/>
      <c r="C72" s="76"/>
      <c r="D72" s="76"/>
      <c r="E72" s="76"/>
      <c r="F72" s="76"/>
      <c r="G72" s="76"/>
      <c r="H72" s="76"/>
      <c r="I72" s="16"/>
      <c r="J72" s="16"/>
      <c r="K72" s="16"/>
      <c r="L72" s="16"/>
      <c r="M72" s="16"/>
      <c r="N72" s="16"/>
      <c r="O72" s="16"/>
      <c r="P72" s="16"/>
      <c r="Q72" s="16"/>
      <c r="R72" s="16"/>
      <c r="S72" s="16"/>
      <c r="T72" s="16"/>
      <c r="U72" s="17"/>
    </row>
    <row r="73" spans="2:21" x14ac:dyDescent="0.25">
      <c r="B73" s="15"/>
      <c r="C73" s="76"/>
      <c r="D73" s="76"/>
      <c r="E73" s="76"/>
      <c r="F73" s="76"/>
      <c r="G73" s="76"/>
      <c r="H73" s="76"/>
      <c r="I73" s="16"/>
      <c r="J73" s="16"/>
      <c r="K73" s="16"/>
      <c r="L73" s="16"/>
      <c r="M73" s="16"/>
      <c r="N73" s="16"/>
      <c r="O73" s="16"/>
      <c r="P73" s="16"/>
      <c r="Q73" s="16"/>
      <c r="R73" s="16"/>
      <c r="S73" s="16"/>
      <c r="T73" s="16"/>
      <c r="U73" s="17"/>
    </row>
    <row r="74" spans="2:21" x14ac:dyDescent="0.25">
      <c r="B74" s="15"/>
      <c r="C74" s="76"/>
      <c r="D74" s="76"/>
      <c r="E74" s="76"/>
      <c r="F74" s="76"/>
      <c r="G74" s="76"/>
      <c r="H74" s="76"/>
      <c r="I74" s="16"/>
      <c r="J74" s="16"/>
      <c r="K74" s="16"/>
      <c r="L74" s="16"/>
      <c r="M74" s="16"/>
      <c r="N74" s="16"/>
      <c r="O74" s="16"/>
      <c r="P74" s="16"/>
      <c r="Q74" s="16"/>
      <c r="R74" s="16"/>
      <c r="S74" s="16"/>
      <c r="T74" s="16"/>
      <c r="U74" s="17"/>
    </row>
    <row r="75" spans="2:21" x14ac:dyDescent="0.25">
      <c r="B75" s="15"/>
      <c r="C75" s="76"/>
      <c r="D75" s="76"/>
      <c r="E75" s="76"/>
      <c r="F75" s="76"/>
      <c r="G75" s="76"/>
      <c r="H75" s="76"/>
      <c r="I75" s="16"/>
      <c r="J75" s="16"/>
      <c r="K75" s="16"/>
      <c r="L75" s="16"/>
      <c r="M75" s="16"/>
      <c r="N75" s="16"/>
      <c r="O75" s="16"/>
      <c r="P75" s="16"/>
      <c r="Q75" s="16"/>
      <c r="R75" s="16"/>
      <c r="S75" s="16"/>
      <c r="T75" s="16"/>
      <c r="U75" s="17"/>
    </row>
    <row r="76" spans="2:21" x14ac:dyDescent="0.25">
      <c r="B76" s="15"/>
      <c r="C76" s="76"/>
      <c r="D76" s="76"/>
      <c r="E76" s="76"/>
      <c r="F76" s="76"/>
      <c r="G76" s="76"/>
      <c r="H76" s="76"/>
      <c r="I76" s="16"/>
      <c r="J76" s="16"/>
      <c r="K76" s="16"/>
      <c r="L76" s="16"/>
      <c r="M76" s="16"/>
      <c r="N76" s="16"/>
      <c r="O76" s="16"/>
      <c r="P76" s="16"/>
      <c r="Q76" s="16"/>
      <c r="R76" s="16"/>
      <c r="S76" s="16"/>
      <c r="T76" s="16"/>
      <c r="U76" s="17"/>
    </row>
    <row r="77" spans="2:21" x14ac:dyDescent="0.25">
      <c r="B77" s="15"/>
      <c r="C77" s="16"/>
      <c r="D77" s="16"/>
      <c r="E77" s="16"/>
      <c r="F77" s="16"/>
      <c r="G77" s="16"/>
      <c r="H77" s="16"/>
      <c r="I77" s="16"/>
      <c r="J77" s="16"/>
      <c r="K77" s="16"/>
      <c r="L77" s="16"/>
      <c r="M77" s="16"/>
      <c r="N77" s="16"/>
      <c r="O77" s="16"/>
      <c r="P77" s="16"/>
      <c r="Q77" s="16"/>
      <c r="R77" s="16"/>
      <c r="S77" s="16"/>
      <c r="T77" s="16"/>
      <c r="U77" s="17"/>
    </row>
    <row r="78" spans="2:21" x14ac:dyDescent="0.25">
      <c r="B78" s="15"/>
      <c r="C78" s="16"/>
      <c r="D78" s="16"/>
      <c r="E78" s="16"/>
      <c r="F78" s="16"/>
      <c r="G78" s="16"/>
      <c r="H78" s="16"/>
      <c r="I78" s="16"/>
      <c r="J78" s="16"/>
      <c r="K78" s="16"/>
      <c r="L78" s="16"/>
      <c r="M78" s="16"/>
      <c r="N78" s="16"/>
      <c r="O78" s="16"/>
      <c r="P78" s="16"/>
      <c r="Q78" s="16"/>
      <c r="R78" s="16"/>
      <c r="S78" s="16"/>
      <c r="T78" s="16"/>
      <c r="U78" s="17"/>
    </row>
    <row r="79" spans="2:21" x14ac:dyDescent="0.25">
      <c r="B79" s="15"/>
      <c r="C79" s="16"/>
      <c r="D79" s="16"/>
      <c r="E79" s="16"/>
      <c r="F79" s="16"/>
      <c r="G79" s="16"/>
      <c r="H79" s="16"/>
      <c r="I79" s="16"/>
      <c r="J79" s="16"/>
      <c r="K79" s="16"/>
      <c r="L79" s="16"/>
      <c r="M79" s="16"/>
      <c r="N79" s="16"/>
      <c r="O79" s="16"/>
      <c r="P79" s="16"/>
      <c r="Q79" s="16"/>
      <c r="R79" s="16"/>
      <c r="S79" s="16"/>
      <c r="T79" s="16"/>
      <c r="U79" s="17"/>
    </row>
    <row r="80" spans="2:21" x14ac:dyDescent="0.25">
      <c r="B80" s="15"/>
      <c r="C80" s="16"/>
      <c r="D80" s="16"/>
      <c r="E80" s="16"/>
      <c r="F80" s="16"/>
      <c r="G80" s="16"/>
      <c r="H80" s="16"/>
      <c r="I80" s="16"/>
      <c r="J80" s="16"/>
      <c r="K80" s="16"/>
      <c r="L80" s="16"/>
      <c r="M80" s="16"/>
      <c r="N80" s="16"/>
      <c r="O80" s="16"/>
      <c r="P80" s="16"/>
      <c r="Q80" s="16"/>
      <c r="R80" s="16"/>
      <c r="S80" s="16"/>
      <c r="T80" s="16"/>
      <c r="U80" s="17"/>
    </row>
    <row r="81" spans="2:21" x14ac:dyDescent="0.25">
      <c r="B81" s="15"/>
      <c r="C81" s="16"/>
      <c r="D81" s="16"/>
      <c r="E81" s="16"/>
      <c r="F81" s="16"/>
      <c r="G81" s="16"/>
      <c r="H81" s="16"/>
      <c r="I81" s="16"/>
      <c r="J81" s="16"/>
      <c r="K81" s="16"/>
      <c r="L81" s="16"/>
      <c r="M81" s="16"/>
      <c r="N81" s="16"/>
      <c r="O81" s="16"/>
      <c r="P81" s="16"/>
      <c r="Q81" s="16"/>
      <c r="R81" s="16"/>
      <c r="S81" s="16"/>
      <c r="T81" s="16"/>
      <c r="U81" s="17"/>
    </row>
    <row r="82" spans="2:21" x14ac:dyDescent="0.25">
      <c r="B82" s="15"/>
      <c r="C82" s="16"/>
      <c r="D82" s="16"/>
      <c r="E82" s="16"/>
      <c r="F82" s="16"/>
      <c r="G82" s="16"/>
      <c r="H82" s="16"/>
      <c r="I82" s="16"/>
      <c r="J82" s="16"/>
      <c r="K82" s="16"/>
      <c r="L82" s="16"/>
      <c r="M82" s="16"/>
      <c r="N82" s="16"/>
      <c r="O82" s="16"/>
      <c r="P82" s="16"/>
      <c r="Q82" s="16"/>
      <c r="R82" s="16"/>
      <c r="S82" s="16"/>
      <c r="T82" s="16"/>
      <c r="U82" s="17"/>
    </row>
    <row r="83" spans="2:21" x14ac:dyDescent="0.25">
      <c r="B83" s="15"/>
      <c r="C83" s="16"/>
      <c r="D83" s="16"/>
      <c r="E83" s="16"/>
      <c r="F83" s="16"/>
      <c r="G83" s="16"/>
      <c r="H83" s="16"/>
      <c r="I83" s="16"/>
      <c r="J83" s="16"/>
      <c r="K83" s="16"/>
      <c r="L83" s="16"/>
      <c r="M83" s="16"/>
      <c r="N83" s="16"/>
      <c r="O83" s="16"/>
      <c r="P83" s="16"/>
      <c r="Q83" s="16"/>
      <c r="R83" s="16"/>
      <c r="S83" s="16"/>
      <c r="T83" s="16"/>
      <c r="U83" s="17"/>
    </row>
    <row r="84" spans="2:21" x14ac:dyDescent="0.25">
      <c r="B84" s="15"/>
      <c r="C84" s="74" t="s">
        <v>74</v>
      </c>
      <c r="D84" s="74"/>
      <c r="E84" s="74"/>
      <c r="F84" s="74"/>
      <c r="G84" s="74"/>
      <c r="H84" s="74"/>
      <c r="I84" s="16"/>
      <c r="J84" s="16"/>
      <c r="K84" s="16"/>
      <c r="L84" s="16"/>
      <c r="M84" s="16"/>
      <c r="N84" s="16"/>
      <c r="O84" s="16"/>
      <c r="P84" s="16"/>
      <c r="Q84" s="16"/>
      <c r="R84" s="16"/>
      <c r="S84" s="16"/>
      <c r="T84" s="16"/>
      <c r="U84" s="17"/>
    </row>
    <row r="85" spans="2:21" x14ac:dyDescent="0.25">
      <c r="B85" s="15"/>
      <c r="C85" s="74"/>
      <c r="D85" s="74"/>
      <c r="E85" s="74"/>
      <c r="F85" s="74"/>
      <c r="G85" s="74"/>
      <c r="H85" s="74"/>
      <c r="I85" s="16"/>
      <c r="J85" s="16"/>
      <c r="K85" s="16"/>
      <c r="L85" s="16"/>
      <c r="M85" s="16"/>
      <c r="N85" s="16"/>
      <c r="O85" s="16"/>
      <c r="P85" s="16"/>
      <c r="Q85" s="16"/>
      <c r="R85" s="16"/>
      <c r="S85" s="16"/>
      <c r="T85" s="16"/>
      <c r="U85" s="17"/>
    </row>
    <row r="86" spans="2:21" x14ac:dyDescent="0.25">
      <c r="B86" s="15"/>
      <c r="C86" s="74"/>
      <c r="D86" s="74"/>
      <c r="E86" s="74"/>
      <c r="F86" s="74"/>
      <c r="G86" s="74"/>
      <c r="H86" s="74"/>
      <c r="I86" s="16"/>
      <c r="J86" s="16"/>
      <c r="K86" s="16"/>
      <c r="L86" s="16"/>
      <c r="M86" s="16"/>
      <c r="N86" s="16"/>
      <c r="O86" s="16"/>
      <c r="P86" s="16"/>
      <c r="Q86" s="16"/>
      <c r="R86" s="16"/>
      <c r="S86" s="16"/>
      <c r="T86" s="16"/>
      <c r="U86" s="17"/>
    </row>
    <row r="87" spans="2:21" x14ac:dyDescent="0.25">
      <c r="B87" s="15"/>
      <c r="C87" s="74"/>
      <c r="D87" s="74"/>
      <c r="E87" s="74"/>
      <c r="F87" s="74"/>
      <c r="G87" s="74"/>
      <c r="H87" s="74"/>
      <c r="I87" s="16"/>
      <c r="J87" s="16"/>
      <c r="K87" s="16"/>
      <c r="L87" s="16"/>
      <c r="M87" s="16"/>
      <c r="N87" s="16"/>
      <c r="O87" s="16"/>
      <c r="P87" s="16"/>
      <c r="Q87" s="16"/>
      <c r="R87" s="16"/>
      <c r="S87" s="16"/>
      <c r="T87" s="16"/>
      <c r="U87" s="17"/>
    </row>
    <row r="88" spans="2:21" x14ac:dyDescent="0.25">
      <c r="B88" s="15"/>
      <c r="C88" s="74"/>
      <c r="D88" s="74"/>
      <c r="E88" s="74"/>
      <c r="F88" s="74"/>
      <c r="G88" s="74"/>
      <c r="H88" s="74"/>
      <c r="I88" s="16"/>
      <c r="J88" s="16"/>
      <c r="K88" s="16"/>
      <c r="L88" s="16"/>
      <c r="M88" s="16"/>
      <c r="N88" s="16"/>
      <c r="O88" s="16"/>
      <c r="P88" s="16"/>
      <c r="Q88" s="16"/>
      <c r="R88" s="16"/>
      <c r="S88" s="16"/>
      <c r="T88" s="16"/>
      <c r="U88" s="17"/>
    </row>
    <row r="89" spans="2:21" x14ac:dyDescent="0.25">
      <c r="B89" s="15"/>
      <c r="C89" s="74"/>
      <c r="D89" s="74"/>
      <c r="E89" s="74"/>
      <c r="F89" s="74"/>
      <c r="G89" s="74"/>
      <c r="H89" s="74"/>
      <c r="I89" s="16"/>
      <c r="J89" s="16"/>
      <c r="K89" s="16"/>
      <c r="L89" s="75" t="s">
        <v>91</v>
      </c>
      <c r="M89" s="75"/>
      <c r="N89" s="75"/>
      <c r="O89" s="75"/>
      <c r="P89" s="75"/>
      <c r="Q89" s="75"/>
      <c r="R89" s="16"/>
      <c r="S89" s="16"/>
      <c r="T89" s="16"/>
      <c r="U89" s="17"/>
    </row>
    <row r="90" spans="2:21" x14ac:dyDescent="0.25">
      <c r="B90" s="15"/>
      <c r="C90" s="74"/>
      <c r="D90" s="74"/>
      <c r="E90" s="74"/>
      <c r="F90" s="74"/>
      <c r="G90" s="74"/>
      <c r="H90" s="74"/>
      <c r="I90" s="16"/>
      <c r="J90" s="16"/>
      <c r="K90" s="16"/>
      <c r="L90" s="16"/>
      <c r="M90" s="16"/>
      <c r="N90" s="16"/>
      <c r="O90" s="16"/>
      <c r="P90" s="16"/>
      <c r="Q90" s="16"/>
      <c r="R90" s="16"/>
      <c r="S90" s="16"/>
      <c r="T90" s="16"/>
      <c r="U90" s="17"/>
    </row>
    <row r="91" spans="2:21" x14ac:dyDescent="0.25">
      <c r="B91" s="15"/>
      <c r="C91" s="74"/>
      <c r="D91" s="74"/>
      <c r="E91" s="74"/>
      <c r="F91" s="74"/>
      <c r="G91" s="74"/>
      <c r="H91" s="74"/>
      <c r="I91" s="16"/>
      <c r="J91" s="16"/>
      <c r="K91" s="16"/>
      <c r="L91" s="16"/>
      <c r="M91" s="16"/>
      <c r="N91" s="16"/>
      <c r="O91" s="16"/>
      <c r="P91" s="16"/>
      <c r="Q91" s="16"/>
      <c r="R91" s="16"/>
      <c r="S91" s="16"/>
      <c r="T91" s="16"/>
      <c r="U91" s="17"/>
    </row>
    <row r="92" spans="2:21" x14ac:dyDescent="0.25">
      <c r="B92" s="15"/>
      <c r="C92" s="74"/>
      <c r="D92" s="74"/>
      <c r="E92" s="74"/>
      <c r="F92" s="74"/>
      <c r="G92" s="74"/>
      <c r="H92" s="74"/>
      <c r="I92" s="16"/>
      <c r="J92" s="16"/>
      <c r="K92" s="16"/>
      <c r="L92" s="16"/>
      <c r="M92" s="16"/>
      <c r="N92" s="16"/>
      <c r="O92" s="16"/>
      <c r="P92" s="16"/>
      <c r="Q92" s="16"/>
      <c r="R92" s="16"/>
      <c r="S92" s="16"/>
      <c r="T92" s="16"/>
      <c r="U92" s="17"/>
    </row>
    <row r="93" spans="2:21" x14ac:dyDescent="0.25">
      <c r="B93" s="15"/>
      <c r="C93" s="16"/>
      <c r="D93" s="16"/>
      <c r="E93" s="16"/>
      <c r="F93" s="16"/>
      <c r="G93" s="16"/>
      <c r="H93" s="16"/>
      <c r="I93" s="16"/>
      <c r="J93" s="16"/>
      <c r="K93" s="16"/>
      <c r="L93" s="16"/>
      <c r="M93" s="16"/>
      <c r="N93" s="16"/>
      <c r="O93" s="16"/>
      <c r="P93" s="16"/>
      <c r="Q93" s="16"/>
      <c r="R93" s="16"/>
      <c r="S93" s="16"/>
      <c r="T93" s="16"/>
      <c r="U93" s="17"/>
    </row>
    <row r="94" spans="2:21" x14ac:dyDescent="0.25">
      <c r="B94" s="15"/>
      <c r="C94" s="16"/>
      <c r="D94" s="16"/>
      <c r="E94" s="16"/>
      <c r="F94" s="16"/>
      <c r="G94" s="16"/>
      <c r="H94" s="16"/>
      <c r="I94" s="16"/>
      <c r="J94" s="16"/>
      <c r="K94" s="16"/>
      <c r="L94" s="16"/>
      <c r="M94" s="16"/>
      <c r="N94" s="16"/>
      <c r="O94" s="16"/>
      <c r="P94" s="16"/>
      <c r="Q94" s="16"/>
      <c r="R94" s="16"/>
      <c r="S94" s="16"/>
      <c r="T94" s="16"/>
      <c r="U94" s="17"/>
    </row>
    <row r="95" spans="2:21" x14ac:dyDescent="0.25">
      <c r="B95" s="15"/>
      <c r="C95" s="16"/>
      <c r="D95" s="16"/>
      <c r="E95" s="16"/>
      <c r="F95" s="16"/>
      <c r="G95" s="16"/>
      <c r="H95" s="16"/>
      <c r="I95" s="16"/>
      <c r="J95" s="16"/>
      <c r="K95" s="16"/>
      <c r="L95" s="16"/>
      <c r="M95" s="16"/>
      <c r="N95" s="16"/>
      <c r="O95" s="16"/>
      <c r="P95" s="16"/>
      <c r="Q95" s="16"/>
      <c r="R95" s="16"/>
      <c r="S95" s="16"/>
      <c r="T95" s="16"/>
      <c r="U95" s="17"/>
    </row>
    <row r="96" spans="2:21" x14ac:dyDescent="0.25">
      <c r="B96" s="15"/>
      <c r="C96" s="16"/>
      <c r="D96" s="16"/>
      <c r="E96" s="16"/>
      <c r="F96" s="16"/>
      <c r="G96" s="16"/>
      <c r="H96" s="16"/>
      <c r="I96" s="16"/>
      <c r="J96" s="16"/>
      <c r="K96" s="16"/>
      <c r="L96" s="16"/>
      <c r="M96" s="16"/>
      <c r="N96" s="16"/>
      <c r="O96" s="16"/>
      <c r="P96" s="16"/>
      <c r="Q96" s="16"/>
      <c r="R96" s="16"/>
      <c r="S96" s="16"/>
      <c r="T96" s="16"/>
      <c r="U96" s="17"/>
    </row>
    <row r="97" spans="2:21" x14ac:dyDescent="0.25">
      <c r="B97" s="15"/>
      <c r="C97" s="16"/>
      <c r="D97" s="16"/>
      <c r="E97" s="16"/>
      <c r="F97" s="16"/>
      <c r="G97" s="16"/>
      <c r="H97" s="16"/>
      <c r="I97" s="16"/>
      <c r="J97" s="16"/>
      <c r="K97" s="16"/>
      <c r="L97" s="16"/>
      <c r="M97" s="16"/>
      <c r="N97" s="16"/>
      <c r="O97" s="16"/>
      <c r="P97" s="16"/>
      <c r="Q97" s="16"/>
      <c r="R97" s="16"/>
      <c r="S97" s="16"/>
      <c r="T97" s="16"/>
      <c r="U97" s="17"/>
    </row>
    <row r="98" spans="2:21" x14ac:dyDescent="0.25">
      <c r="B98" s="15"/>
      <c r="C98" s="16"/>
      <c r="D98" s="16"/>
      <c r="E98" s="16"/>
      <c r="F98" s="16"/>
      <c r="G98" s="16"/>
      <c r="H98" s="16"/>
      <c r="I98" s="16"/>
      <c r="J98" s="16"/>
      <c r="K98" s="16"/>
      <c r="L98" s="16"/>
      <c r="M98" s="16"/>
      <c r="N98" s="16"/>
      <c r="O98" s="16"/>
      <c r="P98" s="16"/>
      <c r="Q98" s="16"/>
      <c r="R98" s="16"/>
      <c r="S98" s="16"/>
      <c r="T98" s="16"/>
      <c r="U98" s="17"/>
    </row>
    <row r="99" spans="2:21" x14ac:dyDescent="0.25">
      <c r="B99" s="15"/>
      <c r="C99" s="18"/>
      <c r="D99" s="16"/>
      <c r="E99" s="16"/>
      <c r="F99" s="16"/>
      <c r="G99" s="16"/>
      <c r="H99" s="16"/>
      <c r="I99" s="16"/>
      <c r="J99" s="16"/>
      <c r="K99" s="16"/>
      <c r="L99" s="16"/>
      <c r="M99" s="16"/>
      <c r="N99" s="16"/>
      <c r="O99" s="16"/>
      <c r="P99" s="16"/>
      <c r="Q99" s="16"/>
      <c r="R99" s="16"/>
      <c r="S99" s="16"/>
      <c r="T99" s="16"/>
      <c r="U99" s="17"/>
    </row>
    <row r="100" spans="2:21" x14ac:dyDescent="0.25">
      <c r="B100" s="15"/>
      <c r="C100" s="16"/>
      <c r="D100" s="16"/>
      <c r="E100" s="16"/>
      <c r="F100" s="16"/>
      <c r="G100" s="16"/>
      <c r="H100" s="16"/>
      <c r="I100" s="16"/>
      <c r="J100" s="16"/>
      <c r="K100" s="16"/>
      <c r="L100" s="16"/>
      <c r="M100" s="16"/>
      <c r="N100" s="16"/>
      <c r="O100" s="16"/>
      <c r="P100" s="16"/>
      <c r="Q100" s="16"/>
      <c r="R100" s="16"/>
      <c r="S100" s="16"/>
      <c r="T100" s="16"/>
      <c r="U100" s="17"/>
    </row>
    <row r="101" spans="2:21" x14ac:dyDescent="0.25">
      <c r="B101" s="15"/>
      <c r="C101" s="16"/>
      <c r="D101" s="16"/>
      <c r="E101" s="16"/>
      <c r="F101" s="16"/>
      <c r="G101" s="16"/>
      <c r="H101" s="16"/>
      <c r="I101" s="16"/>
      <c r="J101" s="16"/>
      <c r="K101" s="16"/>
      <c r="L101" s="16"/>
      <c r="M101" s="16"/>
      <c r="N101" s="16"/>
      <c r="O101" s="16"/>
      <c r="P101" s="16"/>
      <c r="Q101" s="16"/>
      <c r="R101" s="16"/>
      <c r="S101" s="16"/>
      <c r="T101" s="16"/>
      <c r="U101" s="17"/>
    </row>
    <row r="102" spans="2:21" x14ac:dyDescent="0.25">
      <c r="B102" s="15"/>
      <c r="C102" s="16"/>
      <c r="D102" s="16"/>
      <c r="E102" s="16"/>
      <c r="F102" s="16"/>
      <c r="G102" s="16"/>
      <c r="H102" s="16"/>
      <c r="I102" s="16"/>
      <c r="J102" s="16"/>
      <c r="K102" s="16"/>
      <c r="L102" s="16"/>
      <c r="M102" s="16"/>
      <c r="N102" s="16"/>
      <c r="O102" s="16"/>
      <c r="P102" s="16"/>
      <c r="Q102" s="16"/>
      <c r="R102" s="16"/>
      <c r="S102" s="16"/>
      <c r="T102" s="16"/>
      <c r="U102" s="17"/>
    </row>
    <row r="103" spans="2:21" x14ac:dyDescent="0.25">
      <c r="B103" s="15"/>
      <c r="C103" s="76" t="s">
        <v>92</v>
      </c>
      <c r="D103" s="76"/>
      <c r="E103" s="76"/>
      <c r="F103" s="76"/>
      <c r="G103" s="76"/>
      <c r="H103" s="76"/>
      <c r="I103" s="16"/>
      <c r="J103" s="16"/>
      <c r="K103" s="16"/>
      <c r="L103" s="16"/>
      <c r="M103" s="16"/>
      <c r="N103" s="16"/>
      <c r="O103" s="16"/>
      <c r="P103" s="16"/>
      <c r="Q103" s="16"/>
      <c r="R103" s="16"/>
      <c r="S103" s="16"/>
      <c r="T103" s="16"/>
      <c r="U103" s="17"/>
    </row>
    <row r="104" spans="2:21" x14ac:dyDescent="0.25">
      <c r="B104" s="15"/>
      <c r="C104" s="76"/>
      <c r="D104" s="76"/>
      <c r="E104" s="76"/>
      <c r="F104" s="76"/>
      <c r="G104" s="76"/>
      <c r="H104" s="76"/>
      <c r="I104" s="16"/>
      <c r="J104" s="16"/>
      <c r="K104" s="16"/>
      <c r="L104" s="16"/>
      <c r="M104" s="16"/>
      <c r="N104" s="16"/>
      <c r="O104" s="16"/>
      <c r="P104" s="16"/>
      <c r="Q104" s="16"/>
      <c r="R104" s="16"/>
      <c r="S104" s="16"/>
      <c r="T104" s="16"/>
      <c r="U104" s="17"/>
    </row>
    <row r="105" spans="2:21" x14ac:dyDescent="0.25">
      <c r="B105" s="15"/>
      <c r="C105" s="76"/>
      <c r="D105" s="76"/>
      <c r="E105" s="76"/>
      <c r="F105" s="76"/>
      <c r="G105" s="76"/>
      <c r="H105" s="76"/>
      <c r="I105" s="16"/>
      <c r="J105" s="16"/>
      <c r="K105" s="16"/>
      <c r="L105" s="16"/>
      <c r="M105" s="16"/>
      <c r="N105" s="16"/>
      <c r="O105" s="16"/>
      <c r="P105" s="16"/>
      <c r="Q105" s="16"/>
      <c r="R105" s="16"/>
      <c r="S105" s="16"/>
      <c r="T105" s="16"/>
      <c r="U105" s="17"/>
    </row>
    <row r="106" spans="2:21" x14ac:dyDescent="0.25">
      <c r="B106" s="15"/>
      <c r="C106" s="76"/>
      <c r="D106" s="76"/>
      <c r="E106" s="76"/>
      <c r="F106" s="76"/>
      <c r="G106" s="76"/>
      <c r="H106" s="76"/>
      <c r="I106" s="16"/>
      <c r="J106" s="16"/>
      <c r="K106" s="16"/>
      <c r="L106" s="16"/>
      <c r="M106" s="16"/>
      <c r="N106" s="16"/>
      <c r="O106" s="16"/>
      <c r="P106" s="16"/>
      <c r="Q106" s="16"/>
      <c r="R106" s="16"/>
      <c r="S106" s="16"/>
      <c r="T106" s="16"/>
      <c r="U106" s="17"/>
    </row>
    <row r="107" spans="2:21" x14ac:dyDescent="0.25">
      <c r="B107" s="15"/>
      <c r="C107" s="76"/>
      <c r="D107" s="76"/>
      <c r="E107" s="76"/>
      <c r="F107" s="76"/>
      <c r="G107" s="76"/>
      <c r="H107" s="76"/>
      <c r="I107" s="16"/>
      <c r="J107" s="16"/>
      <c r="K107" s="16"/>
      <c r="L107" s="16"/>
      <c r="M107" s="16"/>
      <c r="N107" s="16"/>
      <c r="O107" s="16"/>
      <c r="P107" s="16"/>
      <c r="Q107" s="16"/>
      <c r="R107" s="16"/>
      <c r="S107" s="16"/>
      <c r="T107" s="16"/>
      <c r="U107" s="17"/>
    </row>
    <row r="108" spans="2:21" x14ac:dyDescent="0.25">
      <c r="B108" s="15"/>
      <c r="C108" s="76"/>
      <c r="D108" s="76"/>
      <c r="E108" s="76"/>
      <c r="F108" s="76"/>
      <c r="G108" s="76"/>
      <c r="H108" s="76"/>
      <c r="I108" s="16"/>
      <c r="J108" s="16"/>
      <c r="K108" s="16"/>
      <c r="L108" s="16"/>
      <c r="M108" s="16"/>
      <c r="N108" s="16"/>
      <c r="O108" s="16"/>
      <c r="P108" s="16"/>
      <c r="Q108" s="16"/>
      <c r="R108" s="16"/>
      <c r="S108" s="16"/>
      <c r="T108" s="16"/>
      <c r="U108" s="17"/>
    </row>
    <row r="109" spans="2:21" x14ac:dyDescent="0.25">
      <c r="B109" s="15"/>
      <c r="C109" s="76"/>
      <c r="D109" s="76"/>
      <c r="E109" s="76"/>
      <c r="F109" s="76"/>
      <c r="G109" s="76"/>
      <c r="H109" s="76"/>
      <c r="I109" s="16"/>
      <c r="J109" s="16"/>
      <c r="K109" s="16"/>
      <c r="L109" s="16"/>
      <c r="M109" s="16"/>
      <c r="N109" s="16"/>
      <c r="O109" s="16"/>
      <c r="P109" s="16"/>
      <c r="Q109" s="16"/>
      <c r="R109" s="16"/>
      <c r="S109" s="16"/>
      <c r="T109" s="16"/>
      <c r="U109" s="17"/>
    </row>
    <row r="110" spans="2:21" x14ac:dyDescent="0.25">
      <c r="B110" s="15"/>
      <c r="C110" s="76"/>
      <c r="D110" s="76"/>
      <c r="E110" s="76"/>
      <c r="F110" s="76"/>
      <c r="G110" s="76"/>
      <c r="H110" s="76"/>
      <c r="I110" s="16"/>
      <c r="J110" s="16"/>
      <c r="K110" s="16"/>
      <c r="L110" s="16"/>
      <c r="M110" s="16"/>
      <c r="N110" s="16"/>
      <c r="O110" s="16"/>
      <c r="P110" s="16"/>
      <c r="Q110" s="16"/>
      <c r="R110" s="16"/>
      <c r="S110" s="16"/>
      <c r="T110" s="16"/>
      <c r="U110" s="17"/>
    </row>
    <row r="111" spans="2:21" x14ac:dyDescent="0.25">
      <c r="B111" s="15"/>
      <c r="C111" s="16"/>
      <c r="D111" s="16"/>
      <c r="E111" s="16"/>
      <c r="F111" s="16"/>
      <c r="G111" s="16"/>
      <c r="H111" s="16"/>
      <c r="I111" s="16"/>
      <c r="J111" s="16"/>
      <c r="K111" s="16"/>
      <c r="L111" s="16"/>
      <c r="M111" s="16"/>
      <c r="N111" s="16"/>
      <c r="O111" s="16"/>
      <c r="P111" s="16"/>
      <c r="Q111" s="16"/>
      <c r="R111" s="16"/>
      <c r="S111" s="16"/>
      <c r="T111" s="16"/>
      <c r="U111" s="17"/>
    </row>
    <row r="112" spans="2:21" x14ac:dyDescent="0.25">
      <c r="B112" s="15"/>
      <c r="C112" s="16"/>
      <c r="D112" s="16"/>
      <c r="E112" s="16"/>
      <c r="F112" s="16"/>
      <c r="G112" s="16"/>
      <c r="H112" s="16"/>
      <c r="I112" s="16"/>
      <c r="J112" s="16"/>
      <c r="K112" s="16"/>
      <c r="L112" s="16"/>
      <c r="M112" s="16"/>
      <c r="N112" s="16"/>
      <c r="O112" s="16"/>
      <c r="P112" s="16"/>
      <c r="Q112" s="16"/>
      <c r="R112" s="16"/>
      <c r="S112" s="16"/>
      <c r="T112" s="16"/>
      <c r="U112" s="17"/>
    </row>
    <row r="113" spans="2:21" x14ac:dyDescent="0.25">
      <c r="B113" s="15"/>
      <c r="C113" s="16"/>
      <c r="D113" s="16"/>
      <c r="E113" s="16"/>
      <c r="F113" s="16"/>
      <c r="G113" s="16"/>
      <c r="H113" s="16"/>
      <c r="I113" s="16"/>
      <c r="J113" s="16"/>
      <c r="K113" s="16"/>
      <c r="L113" s="16"/>
      <c r="M113" s="16"/>
      <c r="N113" s="16"/>
      <c r="O113" s="16"/>
      <c r="P113" s="16"/>
      <c r="Q113" s="16"/>
      <c r="R113" s="16"/>
      <c r="S113" s="16"/>
      <c r="T113" s="16"/>
      <c r="U113" s="17"/>
    </row>
    <row r="114" spans="2:21" x14ac:dyDescent="0.25">
      <c r="B114" s="15"/>
      <c r="C114" s="16"/>
      <c r="D114" s="16"/>
      <c r="E114" s="16"/>
      <c r="F114" s="16"/>
      <c r="G114" s="16"/>
      <c r="H114" s="16"/>
      <c r="I114" s="16"/>
      <c r="J114" s="16"/>
      <c r="K114" s="16"/>
      <c r="L114" s="16"/>
      <c r="M114" s="16"/>
      <c r="N114" s="16"/>
      <c r="O114" s="16"/>
      <c r="P114" s="16"/>
      <c r="Q114" s="16"/>
      <c r="R114" s="16"/>
      <c r="S114" s="16"/>
      <c r="T114" s="16"/>
      <c r="U114" s="17"/>
    </row>
    <row r="115" spans="2:21" ht="15.75" thickBot="1" x14ac:dyDescent="0.3">
      <c r="B115" s="22"/>
      <c r="C115" s="23"/>
      <c r="D115" s="23"/>
      <c r="E115" s="23"/>
      <c r="F115" s="23"/>
      <c r="G115" s="23"/>
      <c r="H115" s="23"/>
      <c r="I115" s="23"/>
      <c r="J115" s="23"/>
      <c r="K115" s="23"/>
      <c r="L115" s="23"/>
      <c r="M115" s="23"/>
      <c r="N115" s="23"/>
      <c r="O115" s="23"/>
      <c r="P115" s="23"/>
      <c r="Q115" s="23"/>
      <c r="R115" s="23"/>
      <c r="S115" s="23"/>
      <c r="T115" s="23"/>
      <c r="U115" s="24"/>
    </row>
  </sheetData>
  <mergeCells count="27">
    <mergeCell ref="C19:H19"/>
    <mergeCell ref="C3:H4"/>
    <mergeCell ref="C6:H8"/>
    <mergeCell ref="N6:S7"/>
    <mergeCell ref="J7:M10"/>
    <mergeCell ref="N9:S10"/>
    <mergeCell ref="C10:H10"/>
    <mergeCell ref="C11:H11"/>
    <mergeCell ref="C12:H13"/>
    <mergeCell ref="C14:H14"/>
    <mergeCell ref="C15:H16"/>
    <mergeCell ref="C18:H18"/>
    <mergeCell ref="C20:H21"/>
    <mergeCell ref="C22:H22"/>
    <mergeCell ref="C23:H24"/>
    <mergeCell ref="C26:D26"/>
    <mergeCell ref="C28:D31"/>
    <mergeCell ref="E28:H31"/>
    <mergeCell ref="C84:H92"/>
    <mergeCell ref="L89:Q89"/>
    <mergeCell ref="C103:H110"/>
    <mergeCell ref="C40:D56"/>
    <mergeCell ref="E40:H41"/>
    <mergeCell ref="E42:H49"/>
    <mergeCell ref="E50:H56"/>
    <mergeCell ref="L61:Q61"/>
    <mergeCell ref="C69:H7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2:P29"/>
  <sheetViews>
    <sheetView showGridLines="0" workbookViewId="0"/>
  </sheetViews>
  <sheetFormatPr baseColWidth="10" defaultRowHeight="15" x14ac:dyDescent="0.25"/>
  <sheetData>
    <row r="2" spans="2:8" ht="15.75" thickBot="1" x14ac:dyDescent="0.3"/>
    <row r="3" spans="2:8" x14ac:dyDescent="0.25">
      <c r="B3" s="138" t="s">
        <v>93</v>
      </c>
      <c r="C3" s="139"/>
      <c r="D3" s="139"/>
      <c r="E3" s="139"/>
      <c r="F3" s="139"/>
      <c r="G3" s="140"/>
    </row>
    <row r="4" spans="2:8" x14ac:dyDescent="0.25">
      <c r="B4" s="141"/>
      <c r="C4" s="142"/>
      <c r="D4" s="142"/>
      <c r="E4" s="142"/>
      <c r="F4" s="142"/>
      <c r="G4" s="143"/>
    </row>
    <row r="5" spans="2:8" x14ac:dyDescent="0.25">
      <c r="B5" s="141"/>
      <c r="C5" s="142"/>
      <c r="D5" s="142"/>
      <c r="E5" s="142"/>
      <c r="F5" s="142"/>
      <c r="G5" s="143"/>
    </row>
    <row r="6" spans="2:8" x14ac:dyDescent="0.25">
      <c r="B6" s="141"/>
      <c r="C6" s="142"/>
      <c r="D6" s="142"/>
      <c r="E6" s="142"/>
      <c r="F6" s="142"/>
      <c r="G6" s="143"/>
    </row>
    <row r="7" spans="2:8" x14ac:dyDescent="0.25">
      <c r="B7" s="141"/>
      <c r="C7" s="142"/>
      <c r="D7" s="142"/>
      <c r="E7" s="142"/>
      <c r="F7" s="142"/>
      <c r="G7" s="143"/>
    </row>
    <row r="8" spans="2:8" ht="15.75" thickBot="1" x14ac:dyDescent="0.3">
      <c r="B8" s="144"/>
      <c r="C8" s="145"/>
      <c r="D8" s="145"/>
      <c r="E8" s="145"/>
      <c r="F8" s="145"/>
      <c r="G8" s="146"/>
    </row>
    <row r="10" spans="2:8" x14ac:dyDescent="0.25">
      <c r="B10" s="147" t="s">
        <v>94</v>
      </c>
      <c r="C10" s="147"/>
      <c r="D10" s="147"/>
      <c r="E10" s="148" t="s">
        <v>95</v>
      </c>
      <c r="F10" s="148"/>
      <c r="G10" s="148"/>
      <c r="H10" s="148"/>
    </row>
    <row r="11" spans="2:8" x14ac:dyDescent="0.25">
      <c r="B11" s="147"/>
      <c r="C11" s="147"/>
      <c r="D11" s="147"/>
      <c r="E11" s="148"/>
      <c r="F11" s="148"/>
      <c r="G11" s="148"/>
      <c r="H11" s="148"/>
    </row>
    <row r="12" spans="2:8" x14ac:dyDescent="0.25">
      <c r="B12" s="147"/>
      <c r="C12" s="147"/>
      <c r="D12" s="147"/>
      <c r="E12" s="149" t="s">
        <v>96</v>
      </c>
      <c r="F12" s="149"/>
      <c r="G12" s="149"/>
      <c r="H12" s="149"/>
    </row>
    <row r="13" spans="2:8" x14ac:dyDescent="0.25">
      <c r="B13" s="147"/>
      <c r="C13" s="147"/>
      <c r="D13" s="147"/>
      <c r="E13" s="149"/>
      <c r="F13" s="149"/>
      <c r="G13" s="149"/>
      <c r="H13" s="149"/>
    </row>
    <row r="14" spans="2:8" x14ac:dyDescent="0.25">
      <c r="B14" s="150" t="s">
        <v>97</v>
      </c>
      <c r="C14" s="150"/>
      <c r="D14" s="150"/>
      <c r="E14" s="150"/>
      <c r="F14" s="150"/>
      <c r="G14" s="150"/>
      <c r="H14" s="150"/>
    </row>
    <row r="15" spans="2:8" x14ac:dyDescent="0.25">
      <c r="B15" s="150"/>
      <c r="C15" s="150"/>
      <c r="D15" s="150"/>
      <c r="E15" s="150"/>
      <c r="F15" s="150"/>
      <c r="G15" s="150"/>
      <c r="H15" s="150"/>
    </row>
    <row r="16" spans="2:8" ht="15.75" thickBot="1" x14ac:dyDescent="0.3"/>
    <row r="17" spans="2:16" x14ac:dyDescent="0.25">
      <c r="B17" s="132" t="s">
        <v>98</v>
      </c>
      <c r="C17" s="151"/>
      <c r="D17" s="151"/>
      <c r="E17" s="151"/>
      <c r="F17" s="151"/>
      <c r="G17" s="151"/>
      <c r="H17" s="133"/>
    </row>
    <row r="18" spans="2:16" x14ac:dyDescent="0.25">
      <c r="B18" s="126" t="s">
        <v>99</v>
      </c>
      <c r="C18" s="127"/>
      <c r="D18" s="127"/>
      <c r="E18" s="127"/>
      <c r="F18" s="127"/>
      <c r="G18" s="127"/>
      <c r="H18" s="128"/>
    </row>
    <row r="19" spans="2:16" ht="15.75" thickBot="1" x14ac:dyDescent="0.3">
      <c r="B19" s="129"/>
      <c r="C19" s="130"/>
      <c r="D19" s="130"/>
      <c r="E19" s="130"/>
      <c r="F19" s="130"/>
      <c r="G19" s="130"/>
      <c r="H19" s="131"/>
    </row>
    <row r="20" spans="2:16" ht="15.75" thickBot="1" x14ac:dyDescent="0.3"/>
    <row r="21" spans="2:16" ht="15" customHeight="1" x14ac:dyDescent="0.25">
      <c r="B21" s="132" t="s">
        <v>100</v>
      </c>
      <c r="C21" s="133"/>
      <c r="E21" s="132" t="s">
        <v>101</v>
      </c>
      <c r="F21" s="133"/>
      <c r="H21" s="132" t="s">
        <v>102</v>
      </c>
      <c r="I21" s="133"/>
    </row>
    <row r="22" spans="2:16" x14ac:dyDescent="0.25">
      <c r="B22" s="134"/>
      <c r="C22" s="135"/>
      <c r="D22" s="25" t="s">
        <v>103</v>
      </c>
      <c r="E22" s="134"/>
      <c r="F22" s="135"/>
      <c r="G22" s="25" t="s">
        <v>103</v>
      </c>
      <c r="H22" s="134"/>
      <c r="I22" s="135"/>
    </row>
    <row r="23" spans="2:16" x14ac:dyDescent="0.25">
      <c r="B23" s="134"/>
      <c r="C23" s="135"/>
      <c r="E23" s="134"/>
      <c r="F23" s="135"/>
      <c r="H23" s="134"/>
      <c r="I23" s="135"/>
    </row>
    <row r="24" spans="2:16" ht="15.75" thickBot="1" x14ac:dyDescent="0.3">
      <c r="B24" s="136"/>
      <c r="C24" s="137"/>
      <c r="E24" s="136"/>
      <c r="F24" s="137"/>
      <c r="H24" s="136"/>
      <c r="I24" s="137"/>
      <c r="N24" s="26" t="s">
        <v>104</v>
      </c>
      <c r="O24" s="26"/>
      <c r="P24" s="26"/>
    </row>
    <row r="26" spans="2:16" x14ac:dyDescent="0.25">
      <c r="B26" s="26" t="s">
        <v>105</v>
      </c>
    </row>
    <row r="29" spans="2:16" x14ac:dyDescent="0.25">
      <c r="B29" t="s">
        <v>106</v>
      </c>
    </row>
  </sheetData>
  <mergeCells count="10">
    <mergeCell ref="B18:H19"/>
    <mergeCell ref="B21:C24"/>
    <mergeCell ref="E21:F24"/>
    <mergeCell ref="H21:I24"/>
    <mergeCell ref="B3:G8"/>
    <mergeCell ref="B10:D13"/>
    <mergeCell ref="E10:H11"/>
    <mergeCell ref="E12:H13"/>
    <mergeCell ref="B14:H15"/>
    <mergeCell ref="B17:H1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T47"/>
  <sheetViews>
    <sheetView zoomScale="93" zoomScaleNormal="93" workbookViewId="0">
      <pane ySplit="3" topLeftCell="A28" activePane="bottomLeft" state="frozen"/>
      <selection pane="bottomLeft" activeCell="J37" sqref="J37"/>
    </sheetView>
  </sheetViews>
  <sheetFormatPr baseColWidth="10" defaultRowHeight="15" x14ac:dyDescent="0.25"/>
  <cols>
    <col min="12" max="12" width="0" hidden="1" customWidth="1"/>
    <col min="13" max="13" width="12" hidden="1" customWidth="1"/>
    <col min="14" max="21" width="0" hidden="1" customWidth="1"/>
  </cols>
  <sheetData>
    <row r="1" spans="2:20" x14ac:dyDescent="0.25">
      <c r="M1" s="26" t="s">
        <v>107</v>
      </c>
      <c r="N1" s="26" t="s">
        <v>108</v>
      </c>
      <c r="O1" s="26" t="s">
        <v>109</v>
      </c>
      <c r="P1" s="152" t="s">
        <v>110</v>
      </c>
      <c r="Q1" s="152"/>
      <c r="R1" s="152"/>
      <c r="S1" s="152"/>
      <c r="T1" s="152"/>
    </row>
    <row r="2" spans="2:20" ht="15.75" thickBot="1" x14ac:dyDescent="0.3">
      <c r="M2" s="26">
        <f>STDEVP(L4:L47)</f>
        <v>6.7081669720162017E-3</v>
      </c>
      <c r="N2" s="26">
        <f>AVERAGE(L4:L47)</f>
        <v>-1.303508002681451E-4</v>
      </c>
      <c r="O2" s="26" t="e">
        <f ca="1">_xlfn.NORM.INV(RAND(),M2,N2)</f>
        <v>#NUM!</v>
      </c>
      <c r="P2" s="152"/>
      <c r="Q2" s="152"/>
      <c r="R2" s="152"/>
      <c r="S2" s="152"/>
      <c r="T2" s="152"/>
    </row>
    <row r="3" spans="2:20" x14ac:dyDescent="0.25">
      <c r="B3" s="58" t="s">
        <v>111</v>
      </c>
      <c r="C3" s="59" t="s">
        <v>112</v>
      </c>
      <c r="D3" s="59" t="s">
        <v>113</v>
      </c>
      <c r="E3" s="59" t="s">
        <v>114</v>
      </c>
      <c r="F3" s="59" t="s">
        <v>115</v>
      </c>
      <c r="G3" s="59" t="s">
        <v>116</v>
      </c>
      <c r="H3" s="59" t="s">
        <v>117</v>
      </c>
      <c r="I3" s="59" t="s">
        <v>118</v>
      </c>
      <c r="J3" s="59" t="s">
        <v>119</v>
      </c>
      <c r="K3" s="60" t="s">
        <v>120</v>
      </c>
      <c r="L3" s="25" t="s">
        <v>121</v>
      </c>
      <c r="M3" s="25" t="s">
        <v>122</v>
      </c>
    </row>
    <row r="4" spans="2:20" x14ac:dyDescent="0.25">
      <c r="B4" s="53">
        <v>42807</v>
      </c>
      <c r="C4" s="54">
        <v>0.3609</v>
      </c>
      <c r="D4" s="54">
        <v>0.3609</v>
      </c>
      <c r="E4" s="54">
        <v>0.35920000000000002</v>
      </c>
      <c r="F4" s="54">
        <v>0.3594</v>
      </c>
      <c r="G4" s="16">
        <f>(D4+E4)/2</f>
        <v>0.36004999999999998</v>
      </c>
      <c r="H4" s="16"/>
      <c r="I4" s="16"/>
      <c r="J4" s="16"/>
      <c r="K4" s="17"/>
      <c r="L4">
        <f>LN(G4/G5)</f>
        <v>1.3887924472015046E-4</v>
      </c>
      <c r="M4" t="e">
        <f ca="1">F5*EXP($O$2)</f>
        <v>#NUM!</v>
      </c>
    </row>
    <row r="5" spans="2:20" x14ac:dyDescent="0.25">
      <c r="B5" s="53">
        <v>42808</v>
      </c>
      <c r="C5" s="54">
        <v>0.35970000000000002</v>
      </c>
      <c r="D5" s="54">
        <v>0.36030000000000001</v>
      </c>
      <c r="E5" s="54">
        <v>0.35970000000000002</v>
      </c>
      <c r="F5" s="54">
        <v>0.36020000000000002</v>
      </c>
      <c r="G5" s="16">
        <f t="shared" ref="G5:G47" si="0">(D5+E5)/2</f>
        <v>0.36</v>
      </c>
      <c r="H5" s="16"/>
      <c r="I5" s="16"/>
      <c r="J5" s="16"/>
      <c r="K5" s="17"/>
      <c r="L5">
        <f t="shared" ref="L5:L40" si="1">LN(G5/G6)</f>
        <v>9.6295489758428266E-3</v>
      </c>
      <c r="M5" t="e">
        <f t="shared" ref="M5:M47" ca="1" si="2">F6*EXP($O$2)</f>
        <v>#NUM!</v>
      </c>
    </row>
    <row r="6" spans="2:20" x14ac:dyDescent="0.25">
      <c r="B6" s="53">
        <v>42809</v>
      </c>
      <c r="C6" s="54">
        <v>0.35980000000000001</v>
      </c>
      <c r="D6" s="54">
        <v>0.3599</v>
      </c>
      <c r="E6" s="54">
        <v>0.35320000000000001</v>
      </c>
      <c r="F6" s="54">
        <v>0.3533</v>
      </c>
      <c r="G6" s="16">
        <f t="shared" si="0"/>
        <v>0.35655000000000003</v>
      </c>
      <c r="H6" s="16"/>
      <c r="I6" s="16"/>
      <c r="J6" s="16"/>
      <c r="K6" s="17"/>
      <c r="L6">
        <f t="shared" si="1"/>
        <v>7.3188222541145809E-3</v>
      </c>
      <c r="M6" t="e">
        <f t="shared" ca="1" si="2"/>
        <v>#NUM!</v>
      </c>
    </row>
    <row r="7" spans="2:20" x14ac:dyDescent="0.25">
      <c r="B7" s="53">
        <v>42810</v>
      </c>
      <c r="C7" s="54">
        <v>0.3533</v>
      </c>
      <c r="D7" s="54">
        <v>0.35460000000000003</v>
      </c>
      <c r="E7" s="54">
        <v>0.3533</v>
      </c>
      <c r="F7" s="54">
        <v>0.35460000000000003</v>
      </c>
      <c r="G7" s="16">
        <f t="shared" si="0"/>
        <v>0.35394999999999999</v>
      </c>
      <c r="H7" s="16"/>
      <c r="I7" s="16"/>
      <c r="J7" s="16"/>
      <c r="K7" s="17"/>
      <c r="L7">
        <f t="shared" si="1"/>
        <v>-8.4721835059167608E-4</v>
      </c>
      <c r="M7" t="e">
        <f t="shared" ca="1" si="2"/>
        <v>#NUM!</v>
      </c>
    </row>
    <row r="8" spans="2:20" x14ac:dyDescent="0.25">
      <c r="B8" s="53">
        <v>42811</v>
      </c>
      <c r="C8" s="54">
        <v>0.35489999999999999</v>
      </c>
      <c r="D8" s="54">
        <v>0.35489999999999999</v>
      </c>
      <c r="E8" s="54">
        <v>0.35360000000000003</v>
      </c>
      <c r="F8" s="54">
        <v>0.35360000000000003</v>
      </c>
      <c r="G8" s="16">
        <f t="shared" si="0"/>
        <v>0.35425000000000001</v>
      </c>
      <c r="H8" s="16">
        <f>AVERAGE(G4:G8)</f>
        <v>0.35696</v>
      </c>
      <c r="I8" s="16"/>
      <c r="J8" s="16"/>
      <c r="K8" s="17"/>
      <c r="L8">
        <f t="shared" si="1"/>
        <v>3.393188608434045E-3</v>
      </c>
      <c r="M8" t="e">
        <f t="shared" ca="1" si="2"/>
        <v>#NUM!</v>
      </c>
    </row>
    <row r="9" spans="2:20" x14ac:dyDescent="0.25">
      <c r="B9" s="53">
        <v>42814</v>
      </c>
      <c r="C9" s="54">
        <v>0.35389999999999999</v>
      </c>
      <c r="D9" s="54">
        <v>0.35389999999999999</v>
      </c>
      <c r="E9" s="54">
        <v>0.35220000000000001</v>
      </c>
      <c r="F9" s="54">
        <v>0.35220000000000001</v>
      </c>
      <c r="G9" s="16">
        <f t="shared" si="0"/>
        <v>0.35304999999999997</v>
      </c>
      <c r="H9" s="16">
        <f t="shared" ref="H9:H47" si="3">AVERAGE(G5:G9)</f>
        <v>0.35555999999999999</v>
      </c>
      <c r="I9" s="16"/>
      <c r="J9" s="16"/>
      <c r="K9" s="17"/>
      <c r="L9">
        <f t="shared" si="1"/>
        <v>1.4163302905904722E-4</v>
      </c>
      <c r="M9" t="e">
        <f t="shared" ca="1" si="2"/>
        <v>#NUM!</v>
      </c>
    </row>
    <row r="10" spans="2:20" x14ac:dyDescent="0.25">
      <c r="B10" s="53">
        <v>42815</v>
      </c>
      <c r="C10" s="54">
        <v>0.35220000000000001</v>
      </c>
      <c r="D10" s="54">
        <v>0.35410000000000003</v>
      </c>
      <c r="E10" s="54">
        <v>0.35189999999999999</v>
      </c>
      <c r="F10" s="54">
        <v>0.35410000000000003</v>
      </c>
      <c r="G10" s="16">
        <f t="shared" si="0"/>
        <v>0.35299999999999998</v>
      </c>
      <c r="H10" s="16">
        <f t="shared" si="3"/>
        <v>0.35416000000000003</v>
      </c>
      <c r="I10" s="16"/>
      <c r="J10" s="16"/>
      <c r="K10" s="17"/>
      <c r="L10">
        <f t="shared" si="1"/>
        <v>-4.5223367068109224E-3</v>
      </c>
      <c r="M10" t="e">
        <f t="shared" ca="1" si="2"/>
        <v>#NUM!</v>
      </c>
    </row>
    <row r="11" spans="2:20" x14ac:dyDescent="0.25">
      <c r="B11" s="53">
        <v>42816</v>
      </c>
      <c r="C11" s="54">
        <v>0.35410000000000003</v>
      </c>
      <c r="D11" s="54">
        <v>0.35510000000000003</v>
      </c>
      <c r="E11" s="54">
        <v>0.35410000000000003</v>
      </c>
      <c r="F11" s="54">
        <v>0.35470000000000002</v>
      </c>
      <c r="G11" s="16">
        <f t="shared" si="0"/>
        <v>0.35460000000000003</v>
      </c>
      <c r="H11" s="16">
        <f t="shared" si="3"/>
        <v>0.35376999999999997</v>
      </c>
      <c r="I11" s="16"/>
      <c r="J11" s="16"/>
      <c r="K11" s="17"/>
      <c r="L11">
        <f t="shared" si="1"/>
        <v>-3.3783815916271949E-3</v>
      </c>
      <c r="M11" t="e">
        <f t="shared" ca="1" si="2"/>
        <v>#NUM!</v>
      </c>
    </row>
    <row r="12" spans="2:20" x14ac:dyDescent="0.25">
      <c r="B12" s="53">
        <v>42817</v>
      </c>
      <c r="C12" s="54">
        <v>0.35470000000000002</v>
      </c>
      <c r="D12" s="54">
        <v>0.3569</v>
      </c>
      <c r="E12" s="54">
        <v>0.35470000000000002</v>
      </c>
      <c r="F12" s="54">
        <v>0.35680000000000001</v>
      </c>
      <c r="G12" s="16">
        <f t="shared" si="0"/>
        <v>0.35580000000000001</v>
      </c>
      <c r="H12" s="16">
        <f t="shared" si="3"/>
        <v>0.35414000000000001</v>
      </c>
      <c r="I12" s="16"/>
      <c r="J12" s="16"/>
      <c r="K12" s="17"/>
      <c r="L12">
        <f t="shared" si="1"/>
        <v>-3.0868552643798413E-3</v>
      </c>
      <c r="M12" t="e">
        <f t="shared" ca="1" si="2"/>
        <v>#NUM!</v>
      </c>
    </row>
    <row r="13" spans="2:20" x14ac:dyDescent="0.25">
      <c r="B13" s="53">
        <v>42818</v>
      </c>
      <c r="C13" s="54">
        <v>0.35659999999999997</v>
      </c>
      <c r="D13" s="54">
        <v>0.35720000000000002</v>
      </c>
      <c r="E13" s="54">
        <v>0.35659999999999997</v>
      </c>
      <c r="F13" s="54">
        <v>0.35709999999999997</v>
      </c>
      <c r="G13" s="16">
        <f t="shared" si="0"/>
        <v>0.3569</v>
      </c>
      <c r="H13" s="16">
        <f t="shared" si="3"/>
        <v>0.35466999999999993</v>
      </c>
      <c r="I13" s="16"/>
      <c r="J13" s="16"/>
      <c r="K13" s="17"/>
      <c r="L13">
        <f t="shared" si="1"/>
        <v>-2.8015128352441285E-4</v>
      </c>
      <c r="M13" t="e">
        <f t="shared" ca="1" si="2"/>
        <v>#NUM!</v>
      </c>
    </row>
    <row r="14" spans="2:20" x14ac:dyDescent="0.25">
      <c r="B14" s="53">
        <v>42821</v>
      </c>
      <c r="C14" s="54">
        <v>0.35659999999999997</v>
      </c>
      <c r="D14" s="54">
        <v>0.3574</v>
      </c>
      <c r="E14" s="54">
        <v>0.35659999999999997</v>
      </c>
      <c r="F14" s="54">
        <v>0.3574</v>
      </c>
      <c r="G14" s="16">
        <f t="shared" si="0"/>
        <v>0.35699999999999998</v>
      </c>
      <c r="H14" s="16">
        <f t="shared" si="3"/>
        <v>0.35546</v>
      </c>
      <c r="I14" s="16"/>
      <c r="J14" s="16"/>
      <c r="K14" s="17"/>
      <c r="L14">
        <f t="shared" si="1"/>
        <v>-2.8007282076370318E-4</v>
      </c>
      <c r="M14" t="e">
        <f t="shared" ca="1" si="2"/>
        <v>#NUM!</v>
      </c>
    </row>
    <row r="15" spans="2:20" x14ac:dyDescent="0.25">
      <c r="B15" s="53">
        <v>42822</v>
      </c>
      <c r="C15" s="54">
        <v>0.35720000000000002</v>
      </c>
      <c r="D15" s="54">
        <v>0.35770000000000002</v>
      </c>
      <c r="E15" s="54">
        <v>0.35649999999999998</v>
      </c>
      <c r="F15" s="54">
        <v>0.35649999999999998</v>
      </c>
      <c r="G15" s="16">
        <f t="shared" si="0"/>
        <v>0.35709999999999997</v>
      </c>
      <c r="H15" s="16">
        <f t="shared" si="3"/>
        <v>0.35627999999999999</v>
      </c>
      <c r="I15" s="16"/>
      <c r="J15" s="16"/>
      <c r="K15" s="17"/>
      <c r="L15">
        <f t="shared" si="1"/>
        <v>3.7876176304409044E-3</v>
      </c>
      <c r="M15" t="e">
        <f t="shared" ca="1" si="2"/>
        <v>#NUM!</v>
      </c>
    </row>
    <row r="16" spans="2:20" x14ac:dyDescent="0.25">
      <c r="B16" s="53">
        <v>42823</v>
      </c>
      <c r="C16" s="54">
        <v>0.35649999999999998</v>
      </c>
      <c r="D16" s="54">
        <v>0.35649999999999998</v>
      </c>
      <c r="E16" s="54">
        <v>0.35499999999999998</v>
      </c>
      <c r="F16" s="54">
        <v>0.35499999999999998</v>
      </c>
      <c r="G16" s="16">
        <f t="shared" si="0"/>
        <v>0.35575000000000001</v>
      </c>
      <c r="H16" s="16">
        <f t="shared" si="3"/>
        <v>0.35650999999999999</v>
      </c>
      <c r="I16" s="16"/>
      <c r="J16" s="16"/>
      <c r="K16" s="17"/>
      <c r="L16">
        <f t="shared" si="1"/>
        <v>5.6235064043480456E-4</v>
      </c>
      <c r="M16" t="e">
        <f t="shared" ca="1" si="2"/>
        <v>#NUM!</v>
      </c>
    </row>
    <row r="17" spans="2:13" x14ac:dyDescent="0.25">
      <c r="B17" s="53">
        <v>42824</v>
      </c>
      <c r="C17" s="54">
        <v>0.35489999999999999</v>
      </c>
      <c r="D17" s="54">
        <v>0.35620000000000002</v>
      </c>
      <c r="E17" s="54">
        <v>0.35489999999999999</v>
      </c>
      <c r="F17" s="54">
        <v>0.35620000000000002</v>
      </c>
      <c r="G17" s="16">
        <f t="shared" si="0"/>
        <v>0.35555000000000003</v>
      </c>
      <c r="H17" s="16">
        <f t="shared" si="3"/>
        <v>0.35646</v>
      </c>
      <c r="I17" s="16"/>
      <c r="J17" s="16"/>
      <c r="K17" s="17"/>
      <c r="L17">
        <f t="shared" si="1"/>
        <v>-1.6861040948356559E-3</v>
      </c>
      <c r="M17" t="e">
        <f t="shared" ca="1" si="2"/>
        <v>#NUM!</v>
      </c>
    </row>
    <row r="18" spans="2:13" x14ac:dyDescent="0.25">
      <c r="B18" s="53">
        <v>42825</v>
      </c>
      <c r="C18" s="54">
        <v>0.35620000000000002</v>
      </c>
      <c r="D18" s="54">
        <v>0.35630000000000001</v>
      </c>
      <c r="E18" s="54">
        <v>0.35599999999999998</v>
      </c>
      <c r="F18" s="54">
        <v>0.35630000000000001</v>
      </c>
      <c r="G18" s="16">
        <f t="shared" si="0"/>
        <v>0.35614999999999997</v>
      </c>
      <c r="H18" s="16">
        <f t="shared" si="3"/>
        <v>0.35631000000000002</v>
      </c>
      <c r="I18" s="16"/>
      <c r="J18" s="16"/>
      <c r="K18" s="17"/>
      <c r="L18">
        <f t="shared" si="1"/>
        <v>-1.8224055864493979E-2</v>
      </c>
      <c r="M18" t="e">
        <f t="shared" ca="1" si="2"/>
        <v>#NUM!</v>
      </c>
    </row>
    <row r="19" spans="2:13" x14ac:dyDescent="0.25">
      <c r="B19" s="53">
        <v>42856</v>
      </c>
      <c r="C19" s="54">
        <v>0.36370000000000002</v>
      </c>
      <c r="D19" s="54">
        <v>0.36370000000000002</v>
      </c>
      <c r="E19" s="54">
        <v>0.36170000000000002</v>
      </c>
      <c r="F19" s="54">
        <v>0.36180000000000001</v>
      </c>
      <c r="G19" s="16">
        <f t="shared" si="0"/>
        <v>0.36270000000000002</v>
      </c>
      <c r="H19" s="16">
        <f t="shared" si="3"/>
        <v>0.35744999999999999</v>
      </c>
      <c r="I19" s="16"/>
      <c r="J19" s="16"/>
      <c r="K19" s="17"/>
      <c r="L19">
        <f t="shared" si="1"/>
        <v>2.7609073308043695E-3</v>
      </c>
      <c r="M19" t="e">
        <f t="shared" ca="1" si="2"/>
        <v>#NUM!</v>
      </c>
    </row>
    <row r="20" spans="2:13" x14ac:dyDescent="0.25">
      <c r="B20" s="53">
        <v>42857</v>
      </c>
      <c r="C20" s="54">
        <v>0.36149999999999999</v>
      </c>
      <c r="D20" s="54">
        <v>0.36209999999999998</v>
      </c>
      <c r="E20" s="54">
        <v>0.36130000000000001</v>
      </c>
      <c r="F20" s="54">
        <v>0.36130000000000001</v>
      </c>
      <c r="G20" s="16">
        <f t="shared" si="0"/>
        <v>0.36170000000000002</v>
      </c>
      <c r="H20" s="16">
        <f t="shared" si="3"/>
        <v>0.35837000000000002</v>
      </c>
      <c r="I20" s="16"/>
      <c r="J20" s="16"/>
      <c r="K20" s="17"/>
      <c r="L20">
        <f t="shared" si="1"/>
        <v>-6.2013566062145359E-3</v>
      </c>
      <c r="M20" t="e">
        <f t="shared" ca="1" si="2"/>
        <v>#NUM!</v>
      </c>
    </row>
    <row r="21" spans="2:13" x14ac:dyDescent="0.25">
      <c r="B21" s="53">
        <v>42858</v>
      </c>
      <c r="C21" s="54">
        <v>0.36120000000000002</v>
      </c>
      <c r="D21" s="54">
        <v>0.36670000000000003</v>
      </c>
      <c r="E21" s="54">
        <v>0.36120000000000002</v>
      </c>
      <c r="F21" s="54">
        <v>0.36670000000000003</v>
      </c>
      <c r="G21" s="16">
        <f t="shared" si="0"/>
        <v>0.36395</v>
      </c>
      <c r="H21" s="16">
        <f t="shared" si="3"/>
        <v>0.36001000000000005</v>
      </c>
      <c r="I21" s="16"/>
      <c r="J21" s="16"/>
      <c r="K21" s="17"/>
      <c r="L21">
        <f t="shared" si="1"/>
        <v>-9.5707594106133644E-3</v>
      </c>
      <c r="M21" t="e">
        <f t="shared" ca="1" si="2"/>
        <v>#NUM!</v>
      </c>
    </row>
    <row r="22" spans="2:13" x14ac:dyDescent="0.25">
      <c r="B22" s="53">
        <v>42859</v>
      </c>
      <c r="C22" s="54">
        <v>0.36659999999999998</v>
      </c>
      <c r="D22" s="54">
        <v>0.36830000000000002</v>
      </c>
      <c r="E22" s="54">
        <v>0.36659999999999998</v>
      </c>
      <c r="F22" s="54">
        <v>0.36720000000000003</v>
      </c>
      <c r="G22" s="16">
        <f t="shared" si="0"/>
        <v>0.36745</v>
      </c>
      <c r="H22" s="16">
        <f t="shared" si="3"/>
        <v>0.36239000000000005</v>
      </c>
      <c r="I22" s="16"/>
      <c r="J22" s="16"/>
      <c r="K22" s="17"/>
      <c r="L22">
        <f t="shared" si="1"/>
        <v>-1.0879914033932591E-3</v>
      </c>
      <c r="M22" t="e">
        <f t="shared" ca="1" si="2"/>
        <v>#NUM!</v>
      </c>
    </row>
    <row r="23" spans="2:13" x14ac:dyDescent="0.25">
      <c r="B23" s="53">
        <v>42860</v>
      </c>
      <c r="C23" s="54">
        <v>0.36720000000000003</v>
      </c>
      <c r="D23" s="54">
        <v>0.36849999999999999</v>
      </c>
      <c r="E23" s="54">
        <v>0.36720000000000003</v>
      </c>
      <c r="F23" s="54">
        <v>0.36720000000000003</v>
      </c>
      <c r="G23" s="16">
        <f t="shared" si="0"/>
        <v>0.36785000000000001</v>
      </c>
      <c r="H23" s="16">
        <f t="shared" si="3"/>
        <v>0.36473000000000005</v>
      </c>
      <c r="I23" s="16"/>
      <c r="J23" s="16"/>
      <c r="K23" s="17"/>
      <c r="L23">
        <f t="shared" si="1"/>
        <v>-1.35915732455266E-4</v>
      </c>
      <c r="M23" t="e">
        <f t="shared" ca="1" si="2"/>
        <v>#NUM!</v>
      </c>
    </row>
    <row r="24" spans="2:13" x14ac:dyDescent="0.25">
      <c r="B24" s="53">
        <v>42863</v>
      </c>
      <c r="C24" s="54">
        <v>0.36720000000000003</v>
      </c>
      <c r="D24" s="54">
        <v>0.36870000000000003</v>
      </c>
      <c r="E24" s="54">
        <v>0.36709999999999998</v>
      </c>
      <c r="F24" s="54">
        <v>0.36859999999999998</v>
      </c>
      <c r="G24" s="16">
        <f t="shared" si="0"/>
        <v>0.3679</v>
      </c>
      <c r="H24" s="16">
        <f t="shared" si="3"/>
        <v>0.36577000000000004</v>
      </c>
      <c r="I24" s="16"/>
      <c r="J24" s="16"/>
      <c r="K24" s="17"/>
      <c r="L24">
        <f t="shared" si="1"/>
        <v>-4.4748871201672272E-3</v>
      </c>
      <c r="M24" t="e">
        <f t="shared" ca="1" si="2"/>
        <v>#NUM!</v>
      </c>
    </row>
    <row r="25" spans="2:13" x14ac:dyDescent="0.25">
      <c r="B25" s="53">
        <v>42864</v>
      </c>
      <c r="C25" s="54">
        <v>0.36830000000000002</v>
      </c>
      <c r="D25" s="54">
        <v>0.37080000000000002</v>
      </c>
      <c r="E25" s="54">
        <v>0.36830000000000002</v>
      </c>
      <c r="F25" s="54">
        <v>0.37080000000000002</v>
      </c>
      <c r="G25" s="16">
        <f t="shared" si="0"/>
        <v>0.36955000000000005</v>
      </c>
      <c r="H25" s="16">
        <f t="shared" si="3"/>
        <v>0.36734000000000006</v>
      </c>
      <c r="I25" s="16"/>
      <c r="J25" s="16"/>
      <c r="K25" s="17"/>
      <c r="L25">
        <f t="shared" si="1"/>
        <v>-5.4105236001336502E-4</v>
      </c>
      <c r="M25" t="e">
        <f t="shared" ca="1" si="2"/>
        <v>#NUM!</v>
      </c>
    </row>
    <row r="26" spans="2:13" x14ac:dyDescent="0.25">
      <c r="B26" s="53">
        <v>42865</v>
      </c>
      <c r="C26" s="54">
        <v>0.3705</v>
      </c>
      <c r="D26" s="54">
        <v>0.3705</v>
      </c>
      <c r="E26" s="54">
        <v>0.36899999999999999</v>
      </c>
      <c r="F26" s="54">
        <v>0.37009999999999998</v>
      </c>
      <c r="G26" s="16">
        <f t="shared" si="0"/>
        <v>0.36975000000000002</v>
      </c>
      <c r="H26" s="16">
        <f t="shared" si="3"/>
        <v>0.36850000000000005</v>
      </c>
      <c r="I26" s="16"/>
      <c r="J26" s="16"/>
      <c r="K26" s="17"/>
      <c r="L26">
        <f t="shared" si="1"/>
        <v>4.0576182338025583E-4</v>
      </c>
      <c r="M26" t="e">
        <f t="shared" ca="1" si="2"/>
        <v>#NUM!</v>
      </c>
    </row>
    <row r="27" spans="2:13" x14ac:dyDescent="0.25">
      <c r="B27" s="53">
        <v>42866</v>
      </c>
      <c r="C27" s="54">
        <v>0.37</v>
      </c>
      <c r="D27" s="54">
        <v>0.37009999999999998</v>
      </c>
      <c r="E27" s="54">
        <v>0.36909999999999998</v>
      </c>
      <c r="F27" s="54">
        <v>0.36909999999999998</v>
      </c>
      <c r="G27" s="16">
        <f t="shared" si="0"/>
        <v>0.36959999999999998</v>
      </c>
      <c r="H27" s="16">
        <f t="shared" si="3"/>
        <v>0.36893000000000004</v>
      </c>
      <c r="I27" s="16"/>
      <c r="J27" s="16"/>
      <c r="K27" s="17"/>
      <c r="L27">
        <f t="shared" si="1"/>
        <v>3.3705646101541156E-2</v>
      </c>
      <c r="M27" t="e">
        <f t="shared" ca="1" si="2"/>
        <v>#NUM!</v>
      </c>
    </row>
    <row r="28" spans="2:13" x14ac:dyDescent="0.25">
      <c r="B28" s="55" t="s">
        <v>142</v>
      </c>
      <c r="C28" s="54">
        <v>0.35680000000000001</v>
      </c>
      <c r="D28" s="54">
        <v>0.3579</v>
      </c>
      <c r="E28" s="54">
        <v>0.35680000000000001</v>
      </c>
      <c r="F28" s="54">
        <v>0.3579</v>
      </c>
      <c r="G28" s="16">
        <f t="shared" si="0"/>
        <v>0.35735</v>
      </c>
      <c r="H28" s="16">
        <f t="shared" si="3"/>
        <v>0.36683000000000004</v>
      </c>
      <c r="I28" s="16"/>
      <c r="J28" s="16"/>
      <c r="K28" s="17"/>
      <c r="L28">
        <f t="shared" si="1"/>
        <v>-4.1887802100930597E-3</v>
      </c>
      <c r="M28" t="e">
        <f t="shared" ca="1" si="2"/>
        <v>#NUM!</v>
      </c>
    </row>
    <row r="29" spans="2:13" x14ac:dyDescent="0.25">
      <c r="B29" s="55" t="s">
        <v>141</v>
      </c>
      <c r="C29" s="54">
        <v>0.3579</v>
      </c>
      <c r="D29" s="54">
        <v>0.35980000000000001</v>
      </c>
      <c r="E29" s="54">
        <v>0.3579</v>
      </c>
      <c r="F29" s="54">
        <v>0.35980000000000001</v>
      </c>
      <c r="G29" s="16">
        <f t="shared" si="0"/>
        <v>0.35885</v>
      </c>
      <c r="H29" s="16">
        <f t="shared" si="3"/>
        <v>0.36502000000000001</v>
      </c>
      <c r="I29" s="16"/>
      <c r="J29" s="16"/>
      <c r="K29" s="17"/>
      <c r="L29">
        <f t="shared" si="1"/>
        <v>-1.9487756724222191E-3</v>
      </c>
      <c r="M29" t="e">
        <f t="shared" ca="1" si="2"/>
        <v>#NUM!</v>
      </c>
    </row>
    <row r="30" spans="2:13" x14ac:dyDescent="0.25">
      <c r="B30" s="55" t="s">
        <v>140</v>
      </c>
      <c r="C30" s="54">
        <v>0.35970000000000002</v>
      </c>
      <c r="D30" s="54">
        <v>0.35970000000000002</v>
      </c>
      <c r="E30" s="54">
        <v>0.3594</v>
      </c>
      <c r="F30" s="54">
        <v>0.35949999999999999</v>
      </c>
      <c r="G30" s="16">
        <f t="shared" si="0"/>
        <v>0.35955000000000004</v>
      </c>
      <c r="H30" s="16">
        <f t="shared" si="3"/>
        <v>0.36302000000000001</v>
      </c>
      <c r="I30" s="16"/>
      <c r="J30" s="16"/>
      <c r="K30" s="17"/>
      <c r="L30">
        <f t="shared" si="1"/>
        <v>-1.5285211063263034E-3</v>
      </c>
      <c r="M30" t="e">
        <f t="shared" ca="1" si="2"/>
        <v>#NUM!</v>
      </c>
    </row>
    <row r="31" spans="2:13" x14ac:dyDescent="0.25">
      <c r="B31" s="55" t="s">
        <v>139</v>
      </c>
      <c r="C31" s="54">
        <v>0.3594</v>
      </c>
      <c r="D31" s="54">
        <v>0.36080000000000001</v>
      </c>
      <c r="E31" s="54">
        <v>0.3594</v>
      </c>
      <c r="F31" s="54">
        <v>0.36080000000000001</v>
      </c>
      <c r="G31" s="16">
        <f t="shared" si="0"/>
        <v>0.36009999999999998</v>
      </c>
      <c r="H31" s="16">
        <f t="shared" si="3"/>
        <v>0.36109000000000002</v>
      </c>
      <c r="I31" s="16"/>
      <c r="J31" s="16"/>
      <c r="K31" s="17"/>
      <c r="L31">
        <f t="shared" si="1"/>
        <v>-4.2951226404602865E-3</v>
      </c>
      <c r="M31" t="e">
        <f t="shared" ca="1" si="2"/>
        <v>#NUM!</v>
      </c>
    </row>
    <row r="32" spans="2:13" x14ac:dyDescent="0.25">
      <c r="B32" s="55" t="s">
        <v>138</v>
      </c>
      <c r="C32" s="54">
        <v>0.36109999999999998</v>
      </c>
      <c r="D32" s="54">
        <v>0.36220000000000002</v>
      </c>
      <c r="E32" s="54">
        <v>0.36109999999999998</v>
      </c>
      <c r="F32" s="54">
        <v>0.36220000000000002</v>
      </c>
      <c r="G32" s="16">
        <f t="shared" si="0"/>
        <v>0.36165000000000003</v>
      </c>
      <c r="H32" s="16">
        <f t="shared" si="3"/>
        <v>0.35949999999999999</v>
      </c>
      <c r="I32" s="16"/>
      <c r="J32" s="16"/>
      <c r="K32" s="17"/>
      <c r="L32">
        <f t="shared" si="1"/>
        <v>-3.725940969560919E-3</v>
      </c>
      <c r="M32" t="e">
        <f t="shared" ca="1" si="2"/>
        <v>#NUM!</v>
      </c>
    </row>
    <row r="33" spans="2:13" x14ac:dyDescent="0.25">
      <c r="B33" s="55" t="s">
        <v>137</v>
      </c>
      <c r="C33" s="54">
        <v>0.36259999999999998</v>
      </c>
      <c r="D33" s="54">
        <v>0.3634</v>
      </c>
      <c r="E33" s="54">
        <v>0.36259999999999998</v>
      </c>
      <c r="F33" s="54">
        <v>0.36280000000000001</v>
      </c>
      <c r="G33" s="16">
        <f t="shared" si="0"/>
        <v>0.36299999999999999</v>
      </c>
      <c r="H33" s="16">
        <f t="shared" si="3"/>
        <v>0.36063000000000001</v>
      </c>
      <c r="I33" s="16"/>
      <c r="J33" s="16"/>
      <c r="K33" s="17"/>
      <c r="L33">
        <f t="shared" si="1"/>
        <v>0</v>
      </c>
      <c r="M33" t="e">
        <f t="shared" ca="1" si="2"/>
        <v>#NUM!</v>
      </c>
    </row>
    <row r="34" spans="2:13" x14ac:dyDescent="0.25">
      <c r="B34" s="55" t="s">
        <v>136</v>
      </c>
      <c r="C34" s="54">
        <v>0.3624</v>
      </c>
      <c r="D34" s="54">
        <v>0.36359999999999998</v>
      </c>
      <c r="E34" s="54">
        <v>0.3624</v>
      </c>
      <c r="F34" s="54">
        <v>0.36309999999999998</v>
      </c>
      <c r="G34" s="16">
        <f t="shared" si="0"/>
        <v>0.36299999999999999</v>
      </c>
      <c r="H34" s="16">
        <f t="shared" si="3"/>
        <v>0.36146</v>
      </c>
      <c r="I34" s="16"/>
      <c r="J34" s="16"/>
      <c r="K34" s="17"/>
      <c r="L34">
        <f t="shared" si="1"/>
        <v>1.516300517964008E-3</v>
      </c>
      <c r="M34" t="e">
        <f t="shared" ca="1" si="2"/>
        <v>#NUM!</v>
      </c>
    </row>
    <row r="35" spans="2:13" x14ac:dyDescent="0.25">
      <c r="B35" s="55" t="s">
        <v>135</v>
      </c>
      <c r="C35" s="54">
        <v>0.36299999999999999</v>
      </c>
      <c r="D35" s="54">
        <v>0.36349999999999999</v>
      </c>
      <c r="E35" s="54">
        <v>0.3614</v>
      </c>
      <c r="F35" s="54">
        <v>0.3614</v>
      </c>
      <c r="G35" s="16">
        <f t="shared" si="0"/>
        <v>0.36244999999999999</v>
      </c>
      <c r="H35" s="16">
        <f t="shared" si="3"/>
        <v>0.36204000000000003</v>
      </c>
      <c r="I35" s="16"/>
      <c r="J35" s="16"/>
      <c r="K35" s="17"/>
      <c r="L35">
        <f t="shared" si="1"/>
        <v>6.088298867255355E-3</v>
      </c>
      <c r="M35" t="e">
        <f t="shared" ca="1" si="2"/>
        <v>#NUM!</v>
      </c>
    </row>
    <row r="36" spans="2:13" x14ac:dyDescent="0.25">
      <c r="B36" s="55" t="s">
        <v>134</v>
      </c>
      <c r="C36" s="54">
        <v>0.3614</v>
      </c>
      <c r="D36" s="54">
        <v>0.3614</v>
      </c>
      <c r="E36" s="54">
        <v>0.35909999999999997</v>
      </c>
      <c r="F36" s="54">
        <v>0.35909999999999997</v>
      </c>
      <c r="G36" s="16">
        <f t="shared" si="0"/>
        <v>0.36024999999999996</v>
      </c>
      <c r="H36" s="16">
        <f t="shared" si="3"/>
        <v>0.36207</v>
      </c>
      <c r="I36" s="16"/>
      <c r="J36" s="16"/>
      <c r="K36" s="17"/>
      <c r="L36">
        <f t="shared" si="1"/>
        <v>2.5013909651796415E-3</v>
      </c>
      <c r="M36" t="e">
        <f t="shared" ca="1" si="2"/>
        <v>#NUM!</v>
      </c>
    </row>
    <row r="37" spans="2:13" x14ac:dyDescent="0.25">
      <c r="B37" s="55" t="s">
        <v>133</v>
      </c>
      <c r="C37" s="54">
        <v>0.3594</v>
      </c>
      <c r="D37" s="54">
        <v>0.3594</v>
      </c>
      <c r="E37" s="54">
        <v>0.35930000000000001</v>
      </c>
      <c r="F37" s="54">
        <v>0.35930000000000001</v>
      </c>
      <c r="G37" s="16">
        <f t="shared" si="0"/>
        <v>0.35935</v>
      </c>
      <c r="H37" s="16">
        <f t="shared" si="3"/>
        <v>0.36160999999999999</v>
      </c>
      <c r="I37" s="16">
        <f>AVERAGE(G4:G37)</f>
        <v>0.36016764705882354</v>
      </c>
      <c r="J37" s="16">
        <f>H37-I37</f>
        <v>1.4423529411764502E-3</v>
      </c>
      <c r="K37" s="17"/>
      <c r="L37">
        <f t="shared" si="1"/>
        <v>1.1137408919595741E-3</v>
      </c>
      <c r="M37" t="e">
        <f t="shared" ca="1" si="2"/>
        <v>#NUM!</v>
      </c>
    </row>
    <row r="38" spans="2:13" x14ac:dyDescent="0.25">
      <c r="B38" s="55" t="s">
        <v>132</v>
      </c>
      <c r="C38" s="54">
        <v>0.35920000000000002</v>
      </c>
      <c r="D38" s="54">
        <v>0.35970000000000002</v>
      </c>
      <c r="E38" s="54">
        <v>0.35820000000000002</v>
      </c>
      <c r="F38" s="54">
        <v>0.35970000000000002</v>
      </c>
      <c r="G38" s="16">
        <f t="shared" si="0"/>
        <v>0.35894999999999999</v>
      </c>
      <c r="H38" s="16">
        <f t="shared" si="3"/>
        <v>0.36079999999999995</v>
      </c>
      <c r="I38" s="16">
        <f t="shared" ref="I38:I47" si="4">AVERAGE(G5:G38)</f>
        <v>0.36013529411764705</v>
      </c>
      <c r="J38" s="16">
        <f t="shared" ref="J38:J47" si="5">H38-I38</f>
        <v>6.6470588235290062E-4</v>
      </c>
      <c r="K38" s="17"/>
      <c r="L38">
        <f t="shared" si="1"/>
        <v>-3.6151318571393289E-3</v>
      </c>
      <c r="M38" t="e">
        <f t="shared" ca="1" si="2"/>
        <v>#NUM!</v>
      </c>
    </row>
    <row r="39" spans="2:13" x14ac:dyDescent="0.25">
      <c r="B39" s="55" t="s">
        <v>131</v>
      </c>
      <c r="C39" s="54">
        <v>0.35970000000000002</v>
      </c>
      <c r="D39" s="54">
        <v>0.3609</v>
      </c>
      <c r="E39" s="54">
        <v>0.35959999999999998</v>
      </c>
      <c r="F39" s="54">
        <v>0.36020000000000002</v>
      </c>
      <c r="G39" s="16">
        <f t="shared" si="0"/>
        <v>0.36024999999999996</v>
      </c>
      <c r="H39" s="16">
        <f t="shared" si="3"/>
        <v>0.36024999999999996</v>
      </c>
      <c r="I39" s="16">
        <f t="shared" si="4"/>
        <v>0.3601426470588236</v>
      </c>
      <c r="J39" s="16">
        <f t="shared" si="5"/>
        <v>1.0735294117636407E-4</v>
      </c>
      <c r="K39" s="17"/>
      <c r="L39">
        <f t="shared" si="1"/>
        <v>-4.1551306319619645E-3</v>
      </c>
      <c r="M39" t="e">
        <f t="shared" ca="1" si="2"/>
        <v>#NUM!</v>
      </c>
    </row>
    <row r="40" spans="2:13" x14ac:dyDescent="0.25">
      <c r="B40" s="55" t="s">
        <v>130</v>
      </c>
      <c r="C40" s="54">
        <v>0.36030000000000001</v>
      </c>
      <c r="D40" s="54">
        <v>0.36320000000000002</v>
      </c>
      <c r="E40" s="54">
        <v>0.36030000000000001</v>
      </c>
      <c r="F40" s="54">
        <v>0.36309999999999998</v>
      </c>
      <c r="G40" s="16">
        <f t="shared" si="0"/>
        <v>0.36175000000000002</v>
      </c>
      <c r="H40" s="16">
        <f t="shared" si="3"/>
        <v>0.36010999999999999</v>
      </c>
      <c r="I40" s="16">
        <f t="shared" si="4"/>
        <v>0.36029558823529412</v>
      </c>
      <c r="J40" s="16">
        <f t="shared" si="5"/>
        <v>-1.8558823529413182E-4</v>
      </c>
      <c r="K40" s="17"/>
      <c r="L40">
        <f t="shared" si="1"/>
        <v>-1.3812156891983966E-3</v>
      </c>
      <c r="M40" t="e">
        <f t="shared" ca="1" si="2"/>
        <v>#NUM!</v>
      </c>
    </row>
    <row r="41" spans="2:13" x14ac:dyDescent="0.25">
      <c r="B41" s="55" t="s">
        <v>129</v>
      </c>
      <c r="C41" s="54">
        <v>0.3629</v>
      </c>
      <c r="D41" s="54">
        <v>0.3629</v>
      </c>
      <c r="E41" s="54">
        <v>0.36159999999999998</v>
      </c>
      <c r="F41" s="54">
        <v>0.36159999999999998</v>
      </c>
      <c r="G41" s="16">
        <f t="shared" si="0"/>
        <v>0.36224999999999996</v>
      </c>
      <c r="H41" s="16">
        <f t="shared" si="3"/>
        <v>0.36051</v>
      </c>
      <c r="I41" s="16">
        <f t="shared" si="4"/>
        <v>0.36053970588235301</v>
      </c>
      <c r="J41" s="16">
        <f t="shared" si="5"/>
        <v>-2.9705882353014967E-5</v>
      </c>
      <c r="K41" s="17">
        <f>AVERAGE(J37:J41)</f>
        <v>3.9982352941171363E-4</v>
      </c>
      <c r="L41">
        <f>J41-K41</f>
        <v>-4.295294117647286E-4</v>
      </c>
      <c r="M41" t="e">
        <f t="shared" ca="1" si="2"/>
        <v>#NUM!</v>
      </c>
    </row>
    <row r="42" spans="2:13" x14ac:dyDescent="0.25">
      <c r="B42" s="55" t="s">
        <v>128</v>
      </c>
      <c r="C42" s="54">
        <v>0.36159999999999998</v>
      </c>
      <c r="D42" s="54">
        <v>0.36159999999999998</v>
      </c>
      <c r="E42" s="54">
        <v>0.36130000000000001</v>
      </c>
      <c r="F42" s="54">
        <v>0.36130000000000001</v>
      </c>
      <c r="G42" s="16">
        <f t="shared" si="0"/>
        <v>0.36144999999999999</v>
      </c>
      <c r="H42" s="16">
        <f t="shared" si="3"/>
        <v>0.36093000000000003</v>
      </c>
      <c r="I42" s="16">
        <f t="shared" si="4"/>
        <v>0.36075147058823531</v>
      </c>
      <c r="J42" s="16">
        <f t="shared" si="5"/>
        <v>1.7852941176471626E-4</v>
      </c>
      <c r="K42" s="17">
        <f t="shared" ref="K42:K47" si="6">AVERAGE(J38:J42)</f>
        <v>1.4705882352936684E-4</v>
      </c>
      <c r="L42">
        <f t="shared" ref="L42:L47" si="7">J42-K42</f>
        <v>3.1470588235349423E-5</v>
      </c>
      <c r="M42" t="e">
        <f t="shared" ca="1" si="2"/>
        <v>#NUM!</v>
      </c>
    </row>
    <row r="43" spans="2:13" x14ac:dyDescent="0.25">
      <c r="B43" s="55" t="s">
        <v>127</v>
      </c>
      <c r="C43" s="54">
        <v>0.35980000000000001</v>
      </c>
      <c r="D43" s="54">
        <v>0.3599</v>
      </c>
      <c r="E43" s="54">
        <v>0.35959999999999998</v>
      </c>
      <c r="F43" s="54">
        <v>0.35959999999999998</v>
      </c>
      <c r="G43" s="16">
        <f t="shared" si="0"/>
        <v>0.35975000000000001</v>
      </c>
      <c r="H43" s="16">
        <f t="shared" si="3"/>
        <v>0.36109000000000002</v>
      </c>
      <c r="I43" s="16">
        <f t="shared" si="4"/>
        <v>0.36094852941176475</v>
      </c>
      <c r="J43" s="16">
        <f t="shared" si="5"/>
        <v>1.414705882352707E-4</v>
      </c>
      <c r="K43" s="17">
        <f t="shared" si="6"/>
        <v>4.241176470584085E-5</v>
      </c>
      <c r="L43">
        <f t="shared" si="7"/>
        <v>9.9058823529429857E-5</v>
      </c>
      <c r="M43" t="e">
        <f t="shared" ca="1" si="2"/>
        <v>#NUM!</v>
      </c>
    </row>
    <row r="44" spans="2:13" x14ac:dyDescent="0.25">
      <c r="B44" s="55" t="s">
        <v>126</v>
      </c>
      <c r="C44" s="54">
        <v>0.35959999999999998</v>
      </c>
      <c r="D44" s="54">
        <v>0.36130000000000001</v>
      </c>
      <c r="E44" s="54">
        <v>0.35959999999999998</v>
      </c>
      <c r="F44" s="54">
        <v>0.36130000000000001</v>
      </c>
      <c r="G44" s="16">
        <f t="shared" si="0"/>
        <v>0.36044999999999999</v>
      </c>
      <c r="H44" s="16">
        <f t="shared" si="3"/>
        <v>0.36113000000000001</v>
      </c>
      <c r="I44" s="16">
        <f t="shared" si="4"/>
        <v>0.36116764705882354</v>
      </c>
      <c r="J44" s="16">
        <f t="shared" si="5"/>
        <v>-3.7647058823531143E-5</v>
      </c>
      <c r="K44" s="17">
        <f t="shared" si="6"/>
        <v>1.3411764705861805E-5</v>
      </c>
      <c r="L44">
        <f t="shared" si="7"/>
        <v>-5.1058823529392952E-5</v>
      </c>
      <c r="M44" t="e">
        <f t="shared" ca="1" si="2"/>
        <v>#NUM!</v>
      </c>
    </row>
    <row r="45" spans="2:13" x14ac:dyDescent="0.25">
      <c r="B45" s="55" t="s">
        <v>125</v>
      </c>
      <c r="C45" s="54">
        <v>0.36420000000000002</v>
      </c>
      <c r="D45" s="54">
        <v>0.36420000000000002</v>
      </c>
      <c r="E45" s="54">
        <v>0.36420000000000002</v>
      </c>
      <c r="F45" s="54">
        <v>0.36420000000000002</v>
      </c>
      <c r="G45" s="16">
        <f t="shared" si="0"/>
        <v>0.36420000000000002</v>
      </c>
      <c r="H45" s="16">
        <f t="shared" si="3"/>
        <v>0.36162</v>
      </c>
      <c r="I45" s="16">
        <f t="shared" si="4"/>
        <v>0.36145000000000005</v>
      </c>
      <c r="J45" s="16">
        <f t="shared" si="5"/>
        <v>1.6999999999994797E-4</v>
      </c>
      <c r="K45" s="17">
        <f t="shared" si="6"/>
        <v>8.4529411764677764E-5</v>
      </c>
      <c r="L45">
        <f t="shared" si="7"/>
        <v>8.5470588235270206E-5</v>
      </c>
      <c r="M45" t="e">
        <f t="shared" ca="1" si="2"/>
        <v>#NUM!</v>
      </c>
    </row>
    <row r="46" spans="2:13" x14ac:dyDescent="0.25">
      <c r="B46" s="55" t="s">
        <v>124</v>
      </c>
      <c r="C46" s="54">
        <v>0.3639</v>
      </c>
      <c r="D46" s="54">
        <v>0.36459999999999998</v>
      </c>
      <c r="E46" s="54">
        <v>0.3639</v>
      </c>
      <c r="F46" s="54">
        <v>0.36449999999999999</v>
      </c>
      <c r="G46" s="16">
        <f t="shared" si="0"/>
        <v>0.36424999999999996</v>
      </c>
      <c r="H46" s="16">
        <f t="shared" si="3"/>
        <v>0.36202000000000001</v>
      </c>
      <c r="I46" s="16">
        <f t="shared" si="4"/>
        <v>0.36169852941176472</v>
      </c>
      <c r="J46" s="16">
        <f t="shared" si="5"/>
        <v>3.2147058823528418E-4</v>
      </c>
      <c r="K46" s="17">
        <f t="shared" si="6"/>
        <v>1.5476470588233761E-4</v>
      </c>
      <c r="L46">
        <f t="shared" si="7"/>
        <v>1.6670588235294658E-4</v>
      </c>
      <c r="M46" t="e">
        <f t="shared" ca="1" si="2"/>
        <v>#NUM!</v>
      </c>
    </row>
    <row r="47" spans="2:13" ht="15.75" thickBot="1" x14ac:dyDescent="0.3">
      <c r="B47" s="56" t="s">
        <v>123</v>
      </c>
      <c r="C47" s="57">
        <v>0.36459999999999998</v>
      </c>
      <c r="D47" s="57">
        <v>0.36520000000000002</v>
      </c>
      <c r="E47" s="57">
        <v>0.3639</v>
      </c>
      <c r="F47" s="57">
        <v>0.3639</v>
      </c>
      <c r="G47" s="23">
        <f t="shared" si="0"/>
        <v>0.36455000000000004</v>
      </c>
      <c r="H47" s="23">
        <f t="shared" si="3"/>
        <v>0.36264000000000002</v>
      </c>
      <c r="I47" s="23">
        <f t="shared" si="4"/>
        <v>0.36192352941176464</v>
      </c>
      <c r="J47" s="23">
        <f t="shared" si="5"/>
        <v>7.1647058823537391E-4</v>
      </c>
      <c r="K47" s="24">
        <f t="shared" si="6"/>
        <v>2.623529411764691E-4</v>
      </c>
      <c r="L47">
        <f t="shared" si="7"/>
        <v>4.541176470589048E-4</v>
      </c>
      <c r="M47" t="e">
        <f t="shared" ca="1" si="2"/>
        <v>#NUM!</v>
      </c>
    </row>
  </sheetData>
  <sortState ref="B4:F47">
    <sortCondition ref="B4:B47"/>
  </sortState>
  <mergeCells count="1">
    <mergeCell ref="P1:T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S25"/>
  <sheetViews>
    <sheetView showGridLines="0" showRowColHeaders="0" zoomScale="64" zoomScaleNormal="64" workbookViewId="0"/>
  </sheetViews>
  <sheetFormatPr baseColWidth="10" defaultRowHeight="15" x14ac:dyDescent="0.25"/>
  <cols>
    <col min="2" max="2" width="18.5703125" bestFit="1" customWidth="1"/>
    <col min="3" max="3" width="38.42578125" customWidth="1"/>
    <col min="4" max="4" width="17.42578125" customWidth="1"/>
    <col min="5" max="5" width="35.28515625" customWidth="1"/>
    <col min="6" max="6" width="19" bestFit="1" customWidth="1"/>
  </cols>
  <sheetData>
    <row r="3" spans="1:19" ht="15.75" thickBot="1" x14ac:dyDescent="0.3">
      <c r="B3" s="153" t="s">
        <v>143</v>
      </c>
      <c r="C3" s="153"/>
      <c r="D3" s="28"/>
    </row>
    <row r="4" spans="1:19" ht="64.5" x14ac:dyDescent="0.25">
      <c r="B4" s="29" t="s">
        <v>144</v>
      </c>
      <c r="C4" s="30" t="s">
        <v>145</v>
      </c>
      <c r="D4" s="31"/>
      <c r="F4" s="154" t="s">
        <v>146</v>
      </c>
      <c r="G4" s="155"/>
      <c r="H4" s="155"/>
      <c r="I4" s="156"/>
      <c r="K4" s="163" t="s">
        <v>147</v>
      </c>
      <c r="L4" s="164"/>
      <c r="M4" s="165"/>
      <c r="O4" s="187" t="s">
        <v>148</v>
      </c>
      <c r="P4" s="188"/>
      <c r="Q4" s="188"/>
      <c r="R4" s="188"/>
      <c r="S4" s="189"/>
    </row>
    <row r="5" spans="1:19" ht="65.25" thickBot="1" x14ac:dyDescent="0.3">
      <c r="B5" s="32" t="s">
        <v>149</v>
      </c>
      <c r="C5" s="30" t="s">
        <v>150</v>
      </c>
      <c r="D5" s="31"/>
      <c r="F5" s="157"/>
      <c r="G5" s="158"/>
      <c r="H5" s="158"/>
      <c r="I5" s="159"/>
      <c r="K5" s="166"/>
      <c r="L5" s="167"/>
      <c r="M5" s="168"/>
      <c r="O5" s="190"/>
      <c r="P5" s="191"/>
      <c r="Q5" s="191"/>
      <c r="R5" s="191"/>
      <c r="S5" s="192"/>
    </row>
    <row r="6" spans="1:19" ht="78" thickBot="1" x14ac:dyDescent="0.3">
      <c r="B6" s="33" t="s">
        <v>151</v>
      </c>
      <c r="C6" s="30" t="s">
        <v>152</v>
      </c>
      <c r="D6" s="31"/>
      <c r="F6" s="160"/>
      <c r="G6" s="161"/>
      <c r="H6" s="161"/>
      <c r="I6" s="162"/>
      <c r="K6" s="169"/>
      <c r="L6" s="170"/>
      <c r="M6" s="171"/>
    </row>
    <row r="9" spans="1:19" ht="112.5" customHeight="1" x14ac:dyDescent="0.25">
      <c r="A9" s="193" t="s">
        <v>153</v>
      </c>
      <c r="B9" s="193"/>
      <c r="C9" s="194"/>
      <c r="D9" s="16"/>
      <c r="E9" s="34" t="s">
        <v>154</v>
      </c>
      <c r="F9" s="35" t="s">
        <v>155</v>
      </c>
    </row>
    <row r="10" spans="1:19" ht="15" customHeight="1" x14ac:dyDescent="0.25">
      <c r="A10" s="36"/>
      <c r="B10" s="36"/>
      <c r="C10" s="37"/>
      <c r="D10" s="16"/>
      <c r="E10" s="38"/>
    </row>
    <row r="11" spans="1:19" ht="63.75" customHeight="1" x14ac:dyDescent="0.25">
      <c r="A11" s="195" t="s">
        <v>156</v>
      </c>
      <c r="B11" s="195"/>
      <c r="C11" s="196"/>
      <c r="D11" s="16"/>
      <c r="E11" s="39" t="s">
        <v>157</v>
      </c>
      <c r="F11" s="40" t="s">
        <v>158</v>
      </c>
    </row>
    <row r="12" spans="1:19" ht="15" customHeight="1" x14ac:dyDescent="0.25">
      <c r="A12" s="195"/>
      <c r="B12" s="195"/>
      <c r="C12" s="196"/>
      <c r="D12" s="16"/>
      <c r="E12" s="41"/>
      <c r="F12" s="42"/>
    </row>
    <row r="13" spans="1:19" ht="70.5" customHeight="1" x14ac:dyDescent="0.25">
      <c r="A13" s="36"/>
      <c r="B13" s="36"/>
      <c r="C13" s="37"/>
      <c r="D13" s="16"/>
      <c r="E13" s="43" t="s">
        <v>159</v>
      </c>
      <c r="F13" s="44" t="s">
        <v>160</v>
      </c>
    </row>
    <row r="14" spans="1:19" ht="63.75" x14ac:dyDescent="0.9">
      <c r="A14" s="176" t="s">
        <v>161</v>
      </c>
      <c r="B14" s="176"/>
      <c r="C14" s="176"/>
      <c r="D14" s="37"/>
      <c r="E14" s="43" t="s">
        <v>162</v>
      </c>
      <c r="F14" s="45" t="s">
        <v>163</v>
      </c>
    </row>
    <row r="15" spans="1:19" ht="63.75" x14ac:dyDescent="0.25">
      <c r="A15" s="177" t="s">
        <v>178</v>
      </c>
      <c r="B15" s="178"/>
      <c r="C15" s="179"/>
      <c r="D15" s="46"/>
      <c r="E15" s="43" t="s">
        <v>164</v>
      </c>
      <c r="F15" s="47" t="s">
        <v>165</v>
      </c>
    </row>
    <row r="16" spans="1:19" ht="140.25" customHeight="1" x14ac:dyDescent="0.25">
      <c r="A16" s="180"/>
      <c r="B16" s="174"/>
      <c r="C16" s="175"/>
      <c r="D16" s="46"/>
      <c r="E16" s="48" t="s">
        <v>166</v>
      </c>
      <c r="F16" s="181" t="s">
        <v>167</v>
      </c>
      <c r="G16" s="182"/>
      <c r="H16" s="182"/>
      <c r="I16" s="182"/>
      <c r="J16" s="183"/>
      <c r="K16" s="197" t="s">
        <v>168</v>
      </c>
      <c r="L16" s="198"/>
      <c r="M16" s="198"/>
      <c r="N16" s="199"/>
      <c r="O16" s="49"/>
      <c r="P16" s="49"/>
      <c r="Q16" s="49"/>
    </row>
    <row r="17" spans="1:17" ht="15" customHeight="1" x14ac:dyDescent="0.25">
      <c r="A17" s="177" t="s">
        <v>177</v>
      </c>
      <c r="B17" s="178"/>
      <c r="C17" s="179"/>
      <c r="F17" s="184"/>
      <c r="G17" s="185"/>
      <c r="H17" s="185"/>
      <c r="I17" s="185"/>
      <c r="J17" s="186"/>
      <c r="K17" s="201" t="s">
        <v>169</v>
      </c>
      <c r="L17" s="202"/>
      <c r="M17" s="202"/>
      <c r="N17" s="203"/>
      <c r="O17" s="49"/>
      <c r="P17" s="49"/>
      <c r="Q17" s="49"/>
    </row>
    <row r="18" spans="1:17" x14ac:dyDescent="0.25">
      <c r="A18" s="200"/>
      <c r="B18" s="172"/>
      <c r="C18" s="173"/>
      <c r="F18" s="204" t="s">
        <v>170</v>
      </c>
      <c r="G18" s="205"/>
      <c r="H18" s="205"/>
      <c r="I18" s="205"/>
      <c r="J18" s="206"/>
      <c r="K18" s="204"/>
      <c r="L18" s="205"/>
      <c r="M18" s="205"/>
      <c r="N18" s="206"/>
    </row>
    <row r="19" spans="1:17" x14ac:dyDescent="0.25">
      <c r="A19" s="200"/>
      <c r="B19" s="172"/>
      <c r="C19" s="173"/>
    </row>
    <row r="20" spans="1:17" x14ac:dyDescent="0.25">
      <c r="A20" s="200"/>
      <c r="B20" s="172"/>
      <c r="C20" s="173"/>
    </row>
    <row r="21" spans="1:17" x14ac:dyDescent="0.25">
      <c r="A21" s="200"/>
      <c r="B21" s="172"/>
      <c r="C21" s="173"/>
    </row>
    <row r="22" spans="1:17" x14ac:dyDescent="0.25">
      <c r="A22" s="200"/>
      <c r="B22" s="172"/>
      <c r="C22" s="173"/>
    </row>
    <row r="23" spans="1:17" ht="51" customHeight="1" x14ac:dyDescent="0.25">
      <c r="A23" s="50" t="s">
        <v>171</v>
      </c>
      <c r="B23" s="172" t="s">
        <v>172</v>
      </c>
      <c r="C23" s="173"/>
    </row>
    <row r="24" spans="1:17" ht="63.75" customHeight="1" x14ac:dyDescent="0.25">
      <c r="A24" s="51" t="s">
        <v>171</v>
      </c>
      <c r="B24" s="174" t="s">
        <v>173</v>
      </c>
      <c r="C24" s="175"/>
    </row>
    <row r="25" spans="1:17" x14ac:dyDescent="0.25">
      <c r="A25" s="52"/>
      <c r="B25" s="52"/>
      <c r="C25" s="52"/>
    </row>
  </sheetData>
  <mergeCells count="15">
    <mergeCell ref="O4:S5"/>
    <mergeCell ref="A9:C9"/>
    <mergeCell ref="A11:C12"/>
    <mergeCell ref="K16:N16"/>
    <mergeCell ref="A17:C22"/>
    <mergeCell ref="K17:N18"/>
    <mergeCell ref="F18:J18"/>
    <mergeCell ref="B3:C3"/>
    <mergeCell ref="F4:I6"/>
    <mergeCell ref="K4:M6"/>
    <mergeCell ref="B23:C23"/>
    <mergeCell ref="B24:C24"/>
    <mergeCell ref="A14:C14"/>
    <mergeCell ref="A15:C16"/>
    <mergeCell ref="F16:J17"/>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AQ78"/>
  <sheetViews>
    <sheetView workbookViewId="0">
      <selection activeCell="J71" sqref="J71"/>
    </sheetView>
  </sheetViews>
  <sheetFormatPr baseColWidth="10" defaultRowHeight="15" x14ac:dyDescent="0.25"/>
  <cols>
    <col min="9" max="9" width="11.85546875" bestFit="1" customWidth="1"/>
  </cols>
  <sheetData>
    <row r="1" spans="1:43" ht="15.75" thickBot="1" x14ac:dyDescent="0.3"/>
    <row r="2" spans="1:43" x14ac:dyDescent="0.25">
      <c r="A2" t="s">
        <v>179</v>
      </c>
      <c r="B2" s="25" t="s">
        <v>111</v>
      </c>
      <c r="C2" s="25" t="s">
        <v>112</v>
      </c>
      <c r="D2" s="65" t="s">
        <v>113</v>
      </c>
      <c r="E2" s="65" t="s">
        <v>114</v>
      </c>
      <c r="F2" s="65" t="s">
        <v>115</v>
      </c>
      <c r="G2" s="65" t="s">
        <v>116</v>
      </c>
      <c r="H2" s="65" t="s">
        <v>175</v>
      </c>
      <c r="I2" s="61" t="s">
        <v>181</v>
      </c>
      <c r="J2" s="63" t="s">
        <v>180</v>
      </c>
      <c r="M2" s="25" t="s">
        <v>113</v>
      </c>
      <c r="N2" s="25" t="s">
        <v>114</v>
      </c>
      <c r="O2" s="25" t="s">
        <v>116</v>
      </c>
      <c r="Q2" t="s">
        <v>113</v>
      </c>
      <c r="R2" t="s">
        <v>114</v>
      </c>
      <c r="S2" t="s">
        <v>116</v>
      </c>
      <c r="U2" t="s">
        <v>113</v>
      </c>
      <c r="V2" t="s">
        <v>114</v>
      </c>
      <c r="W2" t="s">
        <v>116</v>
      </c>
      <c r="Y2" t="s">
        <v>113</v>
      </c>
      <c r="Z2" t="s">
        <v>114</v>
      </c>
      <c r="AA2" t="s">
        <v>116</v>
      </c>
      <c r="AC2" t="s">
        <v>113</v>
      </c>
      <c r="AD2" t="s">
        <v>114</v>
      </c>
      <c r="AE2" t="s">
        <v>116</v>
      </c>
      <c r="AG2" t="s">
        <v>113</v>
      </c>
      <c r="AH2" t="s">
        <v>114</v>
      </c>
      <c r="AI2" t="s">
        <v>116</v>
      </c>
      <c r="AK2" t="s">
        <v>113</v>
      </c>
      <c r="AL2" t="s">
        <v>114</v>
      </c>
      <c r="AM2" t="s">
        <v>116</v>
      </c>
      <c r="AO2" t="s">
        <v>113</v>
      </c>
      <c r="AP2" t="s">
        <v>114</v>
      </c>
      <c r="AQ2" t="s">
        <v>116</v>
      </c>
    </row>
    <row r="3" spans="1:43" x14ac:dyDescent="0.25">
      <c r="A3">
        <v>43</v>
      </c>
      <c r="B3" s="27">
        <v>42866</v>
      </c>
      <c r="C3" s="25">
        <v>0.37</v>
      </c>
      <c r="D3" s="25">
        <v>0.37009999999999998</v>
      </c>
      <c r="E3" s="25">
        <v>0.36909999999999998</v>
      </c>
      <c r="F3" s="25">
        <v>0.36909999999999998</v>
      </c>
      <c r="G3" s="25">
        <f>(D3+E3)/2</f>
        <v>0.36959999999999998</v>
      </c>
      <c r="H3" s="25">
        <f>LN(F3/F4)</f>
        <v>-2.7056293561574197E-3</v>
      </c>
      <c r="I3" s="62">
        <v>5.2937457609621248E-3</v>
      </c>
      <c r="J3" s="64">
        <v>6.0526444742032507E-4</v>
      </c>
      <c r="K3" s="67">
        <v>0.37707727263925939</v>
      </c>
      <c r="M3">
        <v>0.37027938408529215</v>
      </c>
      <c r="N3">
        <v>0.36927889939443753</v>
      </c>
      <c r="O3">
        <v>0.36977914173986476</v>
      </c>
      <c r="Q3">
        <v>0.37843260892826486</v>
      </c>
      <c r="R3">
        <v>0.37741009444858836</v>
      </c>
      <c r="S3">
        <v>0.37792135168842667</v>
      </c>
      <c r="U3">
        <v>0.37522452330980388</v>
      </c>
      <c r="V3">
        <v>0.37421067698905325</v>
      </c>
      <c r="W3">
        <v>0.37471760014942862</v>
      </c>
      <c r="Y3">
        <v>0.38661358006550711</v>
      </c>
      <c r="Z3">
        <v>0.38556896082728637</v>
      </c>
      <c r="AA3">
        <v>0.38609127044639668</v>
      </c>
      <c r="AC3">
        <v>0.38979325148031929</v>
      </c>
      <c r="AD3">
        <v>0.38874004085756775</v>
      </c>
      <c r="AE3">
        <v>0.38926664616894335</v>
      </c>
      <c r="AG3">
        <v>0.37292707561989474</v>
      </c>
      <c r="AH3">
        <v>0.37191943693948426</v>
      </c>
      <c r="AI3">
        <v>0.37242325627968964</v>
      </c>
      <c r="AK3">
        <v>0.39952454402114873</v>
      </c>
      <c r="AL3">
        <v>0.39844503971414752</v>
      </c>
      <c r="AM3">
        <v>0.39898479186764824</v>
      </c>
      <c r="AO3">
        <v>0.41118452515481063</v>
      </c>
      <c r="AP3">
        <v>0.4100735159001368</v>
      </c>
      <c r="AQ3">
        <v>0.41062902052747391</v>
      </c>
    </row>
    <row r="4" spans="1:43" x14ac:dyDescent="0.25">
      <c r="B4" s="27">
        <v>42865</v>
      </c>
      <c r="C4" s="25">
        <v>0.3705</v>
      </c>
      <c r="D4" s="25">
        <v>0.3705</v>
      </c>
      <c r="E4" s="25">
        <v>0.36899999999999999</v>
      </c>
      <c r="F4" s="25">
        <v>0.37009999999999998</v>
      </c>
      <c r="G4" s="25">
        <f t="shared" ref="G4:G46" si="0">(D4+E4)/2</f>
        <v>0.36975000000000002</v>
      </c>
      <c r="H4" s="25">
        <f t="shared" ref="H4:H46" si="1">LN(F4/F5)</f>
        <v>-1.8895942995898949E-3</v>
      </c>
      <c r="I4" s="207" t="s">
        <v>182</v>
      </c>
      <c r="J4" s="208"/>
      <c r="K4" s="67">
        <v>0.37643543041071487</v>
      </c>
      <c r="M4">
        <v>0.37667998814699938</v>
      </c>
      <c r="N4">
        <v>0.37566220920037141</v>
      </c>
      <c r="O4">
        <v>0.3761710986736852</v>
      </c>
      <c r="Q4">
        <v>0.38040435295951436</v>
      </c>
      <c r="R4">
        <v>0.37937651088180696</v>
      </c>
      <c r="S4">
        <v>0.37989043192066052</v>
      </c>
      <c r="U4">
        <v>0.38300076818106843</v>
      </c>
      <c r="V4">
        <v>0.38196591066098984</v>
      </c>
      <c r="W4">
        <v>0.38248333942102891</v>
      </c>
      <c r="Y4">
        <v>0.38896629820284123</v>
      </c>
      <c r="Z4">
        <v>0.38791532198505457</v>
      </c>
      <c r="AA4">
        <v>0.38844081009394782</v>
      </c>
      <c r="AC4">
        <v>0.38870999825969949</v>
      </c>
      <c r="AD4">
        <v>0.38765971455729548</v>
      </c>
      <c r="AE4">
        <v>0.3881848564084972</v>
      </c>
      <c r="AG4">
        <v>0.37896520882520029</v>
      </c>
      <c r="AH4">
        <v>0.37794125527528077</v>
      </c>
      <c r="AI4">
        <v>0.3784532320502404</v>
      </c>
      <c r="AK4">
        <v>0.41054726842758943</v>
      </c>
      <c r="AL4">
        <v>0.40943798102302964</v>
      </c>
      <c r="AM4">
        <v>0.40999262472530928</v>
      </c>
      <c r="AO4">
        <v>0.40998705638723676</v>
      </c>
      <c r="AP4">
        <v>0.40887928266017048</v>
      </c>
      <c r="AQ4">
        <v>0.40943316952370373</v>
      </c>
    </row>
    <row r="5" spans="1:43" ht="15.75" thickBot="1" x14ac:dyDescent="0.3">
      <c r="B5" s="27">
        <v>42864</v>
      </c>
      <c r="C5" s="25">
        <v>0.36830000000000002</v>
      </c>
      <c r="D5" s="25">
        <v>0.37080000000000002</v>
      </c>
      <c r="E5" s="25">
        <v>0.36830000000000002</v>
      </c>
      <c r="F5" s="25">
        <v>0.37080000000000002</v>
      </c>
      <c r="G5" s="25">
        <f t="shared" si="0"/>
        <v>0.36955000000000005</v>
      </c>
      <c r="H5" s="25">
        <f t="shared" si="1"/>
        <v>5.9507884559773109E-3</v>
      </c>
      <c r="I5" s="209">
        <f ca="1">IFERROR(_xlfn.NORM.INV(RAND(),J3,I3),"")</f>
        <v>5.3418862603499158E-3</v>
      </c>
      <c r="J5" s="210"/>
      <c r="K5" s="67">
        <v>0.38085197370347618</v>
      </c>
      <c r="M5">
        <v>0.37783477179134578</v>
      </c>
      <c r="N5">
        <v>0.37681387265113681</v>
      </c>
      <c r="O5">
        <v>0.3773243222212414</v>
      </c>
      <c r="Q5">
        <v>0.37747813331465346</v>
      </c>
      <c r="R5">
        <v>0.37645819780177953</v>
      </c>
      <c r="S5">
        <v>0.37696816555821627</v>
      </c>
      <c r="U5">
        <v>0.39358536288471091</v>
      </c>
      <c r="V5">
        <v>0.39252190608145576</v>
      </c>
      <c r="W5">
        <v>0.39305363448308339</v>
      </c>
      <c r="Y5">
        <v>0.38222124351607789</v>
      </c>
      <c r="Z5">
        <v>0.38118849225016033</v>
      </c>
      <c r="AA5">
        <v>0.38170486788311919</v>
      </c>
      <c r="AC5">
        <v>0.38849813775413966</v>
      </c>
      <c r="AD5">
        <v>0.38744842649298278</v>
      </c>
      <c r="AE5">
        <v>0.38797328212356141</v>
      </c>
      <c r="AG5">
        <v>0.37232409394984639</v>
      </c>
      <c r="AH5">
        <v>0.37131808450929016</v>
      </c>
      <c r="AI5">
        <v>0.37182108922956808</v>
      </c>
      <c r="AK5">
        <v>0.40459212892835905</v>
      </c>
      <c r="AL5">
        <v>0.40349893214660176</v>
      </c>
      <c r="AM5">
        <v>0.40404553053748038</v>
      </c>
      <c r="AO5">
        <v>0.40414336312233734</v>
      </c>
      <c r="AP5">
        <v>0.40305137889341996</v>
      </c>
      <c r="AQ5">
        <v>0.40359737100787851</v>
      </c>
    </row>
    <row r="6" spans="1:43" x14ac:dyDescent="0.25">
      <c r="B6" s="27">
        <v>42863</v>
      </c>
      <c r="C6" s="25">
        <v>0.36720000000000003</v>
      </c>
      <c r="D6" s="25">
        <v>0.36870000000000003</v>
      </c>
      <c r="E6" s="25">
        <v>0.36709999999999998</v>
      </c>
      <c r="F6" s="25">
        <v>0.36859999999999998</v>
      </c>
      <c r="G6" s="25">
        <f t="shared" si="0"/>
        <v>0.3679</v>
      </c>
      <c r="H6" s="25">
        <f t="shared" si="1"/>
        <v>3.8053864893874217E-3</v>
      </c>
      <c r="K6" s="67">
        <v>0.38158980270256276</v>
      </c>
      <c r="M6">
        <v>0.37669259377799352</v>
      </c>
      <c r="N6">
        <v>0.37567478077129807</v>
      </c>
      <c r="O6">
        <v>0.37618368727464602</v>
      </c>
      <c r="Q6">
        <v>0.3729698418693061</v>
      </c>
      <c r="R6">
        <v>0.37196208763566846</v>
      </c>
      <c r="S6">
        <v>0.37246596475248722</v>
      </c>
      <c r="U6">
        <v>0.37968809136105841</v>
      </c>
      <c r="V6">
        <v>0.37866218460244971</v>
      </c>
      <c r="W6">
        <v>0.37917513798175384</v>
      </c>
      <c r="Y6">
        <v>0.37379778755458537</v>
      </c>
      <c r="Z6">
        <v>0.37278779623452435</v>
      </c>
      <c r="AA6">
        <v>0.37329279189455467</v>
      </c>
      <c r="AC6">
        <v>0.38410088650140001</v>
      </c>
      <c r="AD6">
        <v>0.38306305649193922</v>
      </c>
      <c r="AE6">
        <v>0.38358197149666962</v>
      </c>
      <c r="AG6">
        <v>0.37849645742309745</v>
      </c>
      <c r="AH6">
        <v>0.37747377042654756</v>
      </c>
      <c r="AI6">
        <v>0.37798511392482226</v>
      </c>
      <c r="AK6">
        <v>0.39720446384347258</v>
      </c>
      <c r="AL6">
        <v>0.39613122832916975</v>
      </c>
      <c r="AM6">
        <v>0.39666784608632139</v>
      </c>
      <c r="AO6">
        <v>0.41435307428041812</v>
      </c>
      <c r="AP6">
        <v>0.41323350369333245</v>
      </c>
      <c r="AQ6">
        <v>0.41379328898687523</v>
      </c>
    </row>
    <row r="7" spans="1:43" x14ac:dyDescent="0.25">
      <c r="B7" s="27">
        <v>42860</v>
      </c>
      <c r="C7" s="25">
        <v>0.36720000000000003</v>
      </c>
      <c r="D7" s="25">
        <v>0.36849999999999999</v>
      </c>
      <c r="E7" s="25">
        <v>0.36720000000000003</v>
      </c>
      <c r="F7" s="25">
        <v>0.36720000000000003</v>
      </c>
      <c r="G7" s="25">
        <f t="shared" si="0"/>
        <v>0.36785000000000001</v>
      </c>
      <c r="H7" s="25">
        <f t="shared" si="1"/>
        <v>0</v>
      </c>
      <c r="I7" t="s">
        <v>176</v>
      </c>
      <c r="K7" s="67">
        <v>0.38732285364460867</v>
      </c>
      <c r="M7">
        <v>0.37346454134351315</v>
      </c>
      <c r="N7">
        <v>0.37245545044553019</v>
      </c>
      <c r="O7">
        <v>0.37295999589452156</v>
      </c>
      <c r="Q7">
        <v>0.37251061498356858</v>
      </c>
      <c r="R7">
        <v>0.37150410156831981</v>
      </c>
      <c r="S7">
        <v>0.37200735827594444</v>
      </c>
      <c r="U7">
        <v>0.37931286262191155</v>
      </c>
      <c r="V7">
        <v>0.37828796972101464</v>
      </c>
      <c r="W7">
        <v>0.37880041617146332</v>
      </c>
      <c r="Y7">
        <v>0.39220641544699636</v>
      </c>
      <c r="Z7">
        <v>0.39114668452171397</v>
      </c>
      <c r="AA7">
        <v>0.39167654998435497</v>
      </c>
      <c r="AC7">
        <v>0.39573334990011844</v>
      </c>
      <c r="AD7">
        <v>0.3946640892951464</v>
      </c>
      <c r="AE7">
        <v>0.3951987195976322</v>
      </c>
      <c r="AG7">
        <v>0.37483102483412056</v>
      </c>
      <c r="AH7">
        <v>0.37381824173540634</v>
      </c>
      <c r="AI7">
        <v>0.37432463328476367</v>
      </c>
      <c r="AK7">
        <v>0.40642765987727975</v>
      </c>
      <c r="AL7">
        <v>0.405329503541486</v>
      </c>
      <c r="AM7">
        <v>0.40587858170938301</v>
      </c>
      <c r="AO7">
        <v>0.4157979576422563</v>
      </c>
      <c r="AP7">
        <v>0.41467448302014809</v>
      </c>
      <c r="AQ7">
        <v>0.41523622033120205</v>
      </c>
    </row>
    <row r="8" spans="1:43" x14ac:dyDescent="0.25">
      <c r="B8" s="27">
        <v>42859</v>
      </c>
      <c r="C8" s="25">
        <v>0.36659999999999998</v>
      </c>
      <c r="D8" s="25">
        <v>0.36830000000000002</v>
      </c>
      <c r="E8" s="25">
        <v>0.36659999999999998</v>
      </c>
      <c r="F8" s="25">
        <v>0.36720000000000003</v>
      </c>
      <c r="G8" s="25">
        <f t="shared" si="0"/>
        <v>0.36745</v>
      </c>
      <c r="H8" s="25">
        <f t="shared" si="1"/>
        <v>1.3625836690551107E-3</v>
      </c>
      <c r="K8" s="67">
        <v>0.38293258397887597</v>
      </c>
      <c r="M8">
        <v>0.37733531589644753</v>
      </c>
      <c r="N8">
        <v>0.37631576627230151</v>
      </c>
      <c r="O8">
        <v>0.37682554108437472</v>
      </c>
      <c r="Q8">
        <v>0.37418754634082219</v>
      </c>
      <c r="R8">
        <v>0.37317650190326251</v>
      </c>
      <c r="S8">
        <v>0.37368202412204227</v>
      </c>
      <c r="U8">
        <v>0.38236306264840764</v>
      </c>
      <c r="V8">
        <v>0.38132992819110306</v>
      </c>
      <c r="W8">
        <v>0.38184649541975557</v>
      </c>
      <c r="Y8">
        <v>0.38480980766114209</v>
      </c>
      <c r="Z8">
        <v>0.38377006216624576</v>
      </c>
      <c r="AA8">
        <v>0.3842899349136939</v>
      </c>
      <c r="AC8">
        <v>0.37124433935078166</v>
      </c>
      <c r="AD8">
        <v>0.37024124737739389</v>
      </c>
      <c r="AE8">
        <v>0.37074279336408794</v>
      </c>
      <c r="AG8">
        <v>0.39277569272333934</v>
      </c>
      <c r="AH8">
        <v>0.39171442362654563</v>
      </c>
      <c r="AI8">
        <v>0.39224505817494232</v>
      </c>
      <c r="AK8">
        <v>0.39838209229514293</v>
      </c>
      <c r="AL8">
        <v>0.39730567486121926</v>
      </c>
      <c r="AM8">
        <v>0.39784388357818112</v>
      </c>
      <c r="AO8">
        <v>0.39775833035017594</v>
      </c>
      <c r="AP8">
        <v>0.39668359830383665</v>
      </c>
      <c r="AQ8">
        <v>0.39722096432700632</v>
      </c>
    </row>
    <row r="9" spans="1:43" x14ac:dyDescent="0.25">
      <c r="B9" s="27">
        <v>42858</v>
      </c>
      <c r="C9" s="25">
        <v>0.36120000000000002</v>
      </c>
      <c r="D9" s="25">
        <v>0.36670000000000003</v>
      </c>
      <c r="E9" s="25">
        <v>0.36120000000000002</v>
      </c>
      <c r="F9" s="25">
        <v>0.36670000000000003</v>
      </c>
      <c r="G9" s="25">
        <f t="shared" si="0"/>
        <v>0.36395</v>
      </c>
      <c r="H9" s="25">
        <f t="shared" si="1"/>
        <v>1.4835436923685816E-2</v>
      </c>
      <c r="K9" s="67">
        <v>0.3999467287789456</v>
      </c>
      <c r="M9">
        <v>0.37823046808685529</v>
      </c>
      <c r="N9">
        <v>0.37720849978616128</v>
      </c>
      <c r="O9">
        <v>0.37771948393650812</v>
      </c>
      <c r="Q9">
        <v>0.37307221487063219</v>
      </c>
      <c r="R9">
        <v>0.37206418402796637</v>
      </c>
      <c r="S9">
        <v>0.3725681994492992</v>
      </c>
      <c r="U9">
        <v>0.38611077807643845</v>
      </c>
      <c r="V9">
        <v>0.38506751739533479</v>
      </c>
      <c r="W9">
        <v>0.38558914773588637</v>
      </c>
      <c r="Y9">
        <v>0.37991023055108636</v>
      </c>
      <c r="Z9">
        <v>0.37888372357850841</v>
      </c>
      <c r="AA9">
        <v>0.37939697706479725</v>
      </c>
      <c r="AC9">
        <v>0.38755288801254689</v>
      </c>
      <c r="AD9">
        <v>0.38650573079014056</v>
      </c>
      <c r="AE9">
        <v>0.38702930940134378</v>
      </c>
      <c r="AG9">
        <v>0.38742973019724064</v>
      </c>
      <c r="AH9">
        <v>0.38638290574385709</v>
      </c>
      <c r="AI9">
        <v>0.38690631797054903</v>
      </c>
      <c r="AK9">
        <v>0.39703983866795867</v>
      </c>
      <c r="AL9">
        <v>0.39596704796634302</v>
      </c>
      <c r="AM9">
        <v>0.39650344331715104</v>
      </c>
      <c r="AO9">
        <v>0.40561560187533541</v>
      </c>
      <c r="AP9">
        <v>0.40451963969788252</v>
      </c>
      <c r="AQ9">
        <v>0.40506762078660874</v>
      </c>
    </row>
    <row r="10" spans="1:43" x14ac:dyDescent="0.25">
      <c r="B10" s="27">
        <v>42857</v>
      </c>
      <c r="C10" s="25">
        <v>0.36149999999999999</v>
      </c>
      <c r="D10" s="25">
        <v>0.36209999999999998</v>
      </c>
      <c r="E10" s="25">
        <v>0.36130000000000001</v>
      </c>
      <c r="F10" s="25">
        <v>0.36130000000000001</v>
      </c>
      <c r="G10" s="25">
        <f t="shared" si="0"/>
        <v>0.36170000000000002</v>
      </c>
      <c r="H10" s="25">
        <f t="shared" si="1"/>
        <v>-1.3829348076002683E-3</v>
      </c>
      <c r="K10" s="67">
        <v>0.40825410740960971</v>
      </c>
      <c r="M10">
        <v>0.37965772278939558</v>
      </c>
      <c r="N10">
        <v>0.37863189808583064</v>
      </c>
      <c r="O10">
        <v>0.37914481043761333</v>
      </c>
      <c r="Q10">
        <v>0.37676288906218269</v>
      </c>
      <c r="R10">
        <v>0.37574488611956669</v>
      </c>
      <c r="S10">
        <v>0.37625388759087486</v>
      </c>
      <c r="U10">
        <v>0.38594111441081719</v>
      </c>
      <c r="V10">
        <v>0.38489831215626213</v>
      </c>
      <c r="W10">
        <v>0.38541971328353958</v>
      </c>
      <c r="Y10">
        <v>0.38031303459749916</v>
      </c>
      <c r="Z10">
        <v>0.37928543925948915</v>
      </c>
      <c r="AA10">
        <v>0.37979923692849404</v>
      </c>
      <c r="AC10">
        <v>0.38582109442005397</v>
      </c>
      <c r="AD10">
        <v>0.38477861645620615</v>
      </c>
      <c r="AE10">
        <v>0.38529985543813006</v>
      </c>
      <c r="AG10">
        <v>0.3798206434061262</v>
      </c>
      <c r="AH10">
        <v>0.37879437849554493</v>
      </c>
      <c r="AI10">
        <v>0.37930751095083548</v>
      </c>
      <c r="AK10">
        <v>0.3836807122895885</v>
      </c>
      <c r="AL10">
        <v>0.38264401757926808</v>
      </c>
      <c r="AM10">
        <v>0.38316236493442801</v>
      </c>
      <c r="AO10">
        <v>0.41721199965368311</v>
      </c>
      <c r="AP10">
        <v>0.41608470432903122</v>
      </c>
      <c r="AQ10">
        <v>0.41664835199135708</v>
      </c>
    </row>
    <row r="11" spans="1:43" x14ac:dyDescent="0.25">
      <c r="B11" s="27">
        <v>42856</v>
      </c>
      <c r="C11" s="25">
        <v>0.36370000000000002</v>
      </c>
      <c r="D11" s="25">
        <v>0.36370000000000002</v>
      </c>
      <c r="E11" s="25">
        <v>0.36170000000000002</v>
      </c>
      <c r="F11" s="25">
        <v>0.36180000000000001</v>
      </c>
      <c r="G11" s="25">
        <f t="shared" si="0"/>
        <v>0.36270000000000002</v>
      </c>
      <c r="H11" s="25">
        <f t="shared" si="1"/>
        <v>-5.7875316569193655E-3</v>
      </c>
      <c r="M11">
        <v>0.37827806396644093</v>
      </c>
      <c r="N11">
        <v>0.37725596706299197</v>
      </c>
      <c r="O11">
        <v>0.37776701551471648</v>
      </c>
      <c r="Q11">
        <v>0.37798758092099699</v>
      </c>
      <c r="R11">
        <v>0.37696626889473117</v>
      </c>
      <c r="S11">
        <v>0.37747692490786411</v>
      </c>
      <c r="U11">
        <v>0.3838148056432687</v>
      </c>
      <c r="V11">
        <v>0.38277774861640218</v>
      </c>
      <c r="W11">
        <v>0.38329627712983561</v>
      </c>
      <c r="Y11">
        <v>0.37536013209245278</v>
      </c>
      <c r="Z11">
        <v>0.37434591936050882</v>
      </c>
      <c r="AA11">
        <v>0.37485302572648094</v>
      </c>
      <c r="AC11">
        <v>0.38951169967163612</v>
      </c>
      <c r="AD11">
        <v>0.38845924979411206</v>
      </c>
      <c r="AE11">
        <v>0.38898547473287404</v>
      </c>
      <c r="AG11">
        <v>0.37942016396237199</v>
      </c>
      <c r="AH11">
        <v>0.37839498113621045</v>
      </c>
      <c r="AI11">
        <v>0.37890757254929119</v>
      </c>
      <c r="AK11">
        <v>0.40322906194371344</v>
      </c>
      <c r="AL11">
        <v>0.40213954813138242</v>
      </c>
      <c r="AM11">
        <v>0.40268430503754771</v>
      </c>
      <c r="AO11">
        <v>0.39190404264265255</v>
      </c>
      <c r="AP11">
        <v>0.39084512872035415</v>
      </c>
      <c r="AQ11">
        <v>0.39137458568150357</v>
      </c>
    </row>
    <row r="12" spans="1:43" x14ac:dyDescent="0.25">
      <c r="B12" s="25" t="s">
        <v>123</v>
      </c>
      <c r="C12" s="25">
        <v>0.36459999999999998</v>
      </c>
      <c r="D12" s="25">
        <v>0.36520000000000002</v>
      </c>
      <c r="E12" s="25">
        <v>0.3639</v>
      </c>
      <c r="F12" s="25">
        <v>0.3639</v>
      </c>
      <c r="G12" s="25">
        <f t="shared" si="0"/>
        <v>0.36455000000000004</v>
      </c>
      <c r="H12" s="25">
        <f t="shared" si="1"/>
        <v>-1.6474468305987156E-3</v>
      </c>
      <c r="M12">
        <v>0.37732754160171561</v>
      </c>
      <c r="N12">
        <v>0.3763080129834997</v>
      </c>
      <c r="O12">
        <v>0.37681777729260785</v>
      </c>
      <c r="Q12">
        <v>0.37701364252610353</v>
      </c>
      <c r="R12">
        <v>0.37599496205453881</v>
      </c>
      <c r="S12">
        <v>0.37650430229032139</v>
      </c>
      <c r="U12">
        <v>0.38292000519769309</v>
      </c>
      <c r="V12">
        <v>0.38188536589696975</v>
      </c>
      <c r="W12">
        <v>0.38240268554733137</v>
      </c>
      <c r="Y12">
        <v>0.38354522245463635</v>
      </c>
      <c r="Z12">
        <v>0.38250889383411585</v>
      </c>
      <c r="AA12">
        <v>0.38302705814437593</v>
      </c>
      <c r="AC12">
        <v>0.38490990454357088</v>
      </c>
      <c r="AD12">
        <v>0.38386988858965682</v>
      </c>
      <c r="AE12">
        <v>0.38438989656661393</v>
      </c>
      <c r="AG12">
        <v>0.38299055665105147</v>
      </c>
      <c r="AH12">
        <v>0.38195572672224554</v>
      </c>
      <c r="AI12">
        <v>0.38247314168664825</v>
      </c>
      <c r="AK12">
        <v>0.40728774314332411</v>
      </c>
      <c r="AL12">
        <v>0.40618726288624946</v>
      </c>
      <c r="AM12">
        <v>0.40673750301478673</v>
      </c>
      <c r="AO12">
        <v>0.41697049472403858</v>
      </c>
      <c r="AP12">
        <v>0.41584385193905066</v>
      </c>
      <c r="AQ12">
        <v>0.41640717333154487</v>
      </c>
    </row>
    <row r="13" spans="1:43" x14ac:dyDescent="0.25">
      <c r="B13" s="25" t="s">
        <v>124</v>
      </c>
      <c r="C13" s="25">
        <v>0.3639</v>
      </c>
      <c r="D13" s="25">
        <v>0.36459999999999998</v>
      </c>
      <c r="E13" s="25">
        <v>0.3639</v>
      </c>
      <c r="F13" s="25">
        <v>0.36449999999999999</v>
      </c>
      <c r="G13" s="25">
        <f t="shared" si="0"/>
        <v>0.36424999999999996</v>
      </c>
      <c r="H13" s="25">
        <f t="shared" si="1"/>
        <v>8.2338415520513502E-4</v>
      </c>
      <c r="M13">
        <v>0.37875006296186553</v>
      </c>
      <c r="N13">
        <v>0.37772669073013931</v>
      </c>
      <c r="O13">
        <v>0.37823837684600264</v>
      </c>
      <c r="Q13">
        <v>0.37665549508374629</v>
      </c>
      <c r="R13">
        <v>0.37563778231670025</v>
      </c>
      <c r="S13">
        <v>0.37614663870022313</v>
      </c>
      <c r="U13">
        <v>0.38095669498749424</v>
      </c>
      <c r="V13">
        <v>0.37992736049684978</v>
      </c>
      <c r="W13">
        <v>0.3804420277421719</v>
      </c>
      <c r="Y13">
        <v>0.37480737290163041</v>
      </c>
      <c r="Z13">
        <v>0.37379465370978598</v>
      </c>
      <c r="AA13">
        <v>0.37430101330570797</v>
      </c>
      <c r="AC13">
        <v>0.39462919990893841</v>
      </c>
      <c r="AD13">
        <v>0.39356292268681209</v>
      </c>
      <c r="AE13">
        <v>0.39409606129787506</v>
      </c>
      <c r="AG13">
        <v>0.39225139429010158</v>
      </c>
      <c r="AH13">
        <v>0.3911915418332248</v>
      </c>
      <c r="AI13">
        <v>0.39172146806166341</v>
      </c>
      <c r="AK13">
        <v>0.40141037010786607</v>
      </c>
      <c r="AL13">
        <v>0.40032577035075212</v>
      </c>
      <c r="AM13">
        <v>0.40086807022930904</v>
      </c>
      <c r="AO13">
        <v>0.41208258397276409</v>
      </c>
      <c r="AP13">
        <v>0.41096914818791469</v>
      </c>
      <c r="AQ13">
        <v>0.41152586608033936</v>
      </c>
    </row>
    <row r="14" spans="1:43" x14ac:dyDescent="0.25">
      <c r="B14" s="25" t="s">
        <v>125</v>
      </c>
      <c r="C14" s="25">
        <v>0.36420000000000002</v>
      </c>
      <c r="D14" s="25">
        <v>0.36420000000000002</v>
      </c>
      <c r="E14" s="25">
        <v>0.36420000000000002</v>
      </c>
      <c r="F14" s="25">
        <v>0.36420000000000002</v>
      </c>
      <c r="G14" s="25">
        <f t="shared" si="0"/>
        <v>0.36420000000000002</v>
      </c>
      <c r="H14" s="25">
        <f t="shared" si="1"/>
        <v>7.9945291399131022E-3</v>
      </c>
      <c r="M14">
        <v>0.38115605678216735</v>
      </c>
      <c r="N14">
        <v>0.38012618362144818</v>
      </c>
      <c r="O14">
        <v>0.38064112020180763</v>
      </c>
      <c r="Q14">
        <v>0.37923400738448493</v>
      </c>
      <c r="R14">
        <v>0.37820932754826642</v>
      </c>
      <c r="S14">
        <v>0.3787216674663757</v>
      </c>
      <c r="U14">
        <v>0.38313357087441957</v>
      </c>
      <c r="V14">
        <v>0.38209835452512358</v>
      </c>
      <c r="W14">
        <v>0.38261596269977183</v>
      </c>
      <c r="Y14">
        <v>0.39500006423432882</v>
      </c>
      <c r="Z14">
        <v>0.39393278494701639</v>
      </c>
      <c r="AA14">
        <v>0.39446642459067272</v>
      </c>
      <c r="AC14">
        <v>0.38387921376470063</v>
      </c>
      <c r="AD14">
        <v>0.3828419827088651</v>
      </c>
      <c r="AE14">
        <v>0.38336059823678303</v>
      </c>
      <c r="AG14">
        <v>0.38632254240495839</v>
      </c>
      <c r="AH14">
        <v>0.38527870954247534</v>
      </c>
      <c r="AI14">
        <v>0.38580062597371667</v>
      </c>
      <c r="AK14">
        <v>0.39114482553201224</v>
      </c>
      <c r="AL14">
        <v>0.39008796299342263</v>
      </c>
      <c r="AM14">
        <v>0.39061639426271733</v>
      </c>
      <c r="AO14">
        <v>0.41233422691419691</v>
      </c>
      <c r="AP14">
        <v>0.41122011119705509</v>
      </c>
      <c r="AQ14">
        <v>0.41177716905562606</v>
      </c>
    </row>
    <row r="15" spans="1:43" x14ac:dyDescent="0.25">
      <c r="B15" s="25" t="s">
        <v>126</v>
      </c>
      <c r="C15" s="25">
        <v>0.35959999999999998</v>
      </c>
      <c r="D15" s="25">
        <v>0.36130000000000001</v>
      </c>
      <c r="E15" s="25">
        <v>0.35959999999999998</v>
      </c>
      <c r="F15" s="25">
        <v>0.36130000000000001</v>
      </c>
      <c r="G15" s="25">
        <f t="shared" si="0"/>
        <v>0.36044999999999999</v>
      </c>
      <c r="H15" s="25">
        <f t="shared" si="1"/>
        <v>4.7163355561295108E-3</v>
      </c>
      <c r="M15">
        <v>0.37519593751246527</v>
      </c>
      <c r="N15">
        <v>0.37418216842975127</v>
      </c>
      <c r="O15">
        <v>0.37468905297110811</v>
      </c>
      <c r="Q15">
        <v>0.3773536403026414</v>
      </c>
      <c r="R15">
        <v>0.37633404116645486</v>
      </c>
      <c r="S15">
        <v>0.37684384073454791</v>
      </c>
      <c r="U15">
        <v>0.37308548936057373</v>
      </c>
      <c r="V15">
        <v>0.37207742265060184</v>
      </c>
      <c r="W15">
        <v>0.3725814560055879</v>
      </c>
      <c r="Y15">
        <v>0.3727774473980387</v>
      </c>
      <c r="Z15">
        <v>0.3717702130089599</v>
      </c>
      <c r="AA15">
        <v>0.37227383020349947</v>
      </c>
      <c r="AC15">
        <v>0.38675118866854563</v>
      </c>
      <c r="AD15">
        <v>0.38570619761567188</v>
      </c>
      <c r="AE15">
        <v>0.38622869314210895</v>
      </c>
      <c r="AG15">
        <v>0.38633718500348796</v>
      </c>
      <c r="AH15">
        <v>0.38529331257710725</v>
      </c>
      <c r="AI15">
        <v>0.3858152487902976</v>
      </c>
      <c r="AK15">
        <v>0.40164157599952072</v>
      </c>
      <c r="AL15">
        <v>0.4005563515304596</v>
      </c>
      <c r="AM15">
        <v>0.40109896376499032</v>
      </c>
      <c r="AO15">
        <v>0.40586173709051465</v>
      </c>
      <c r="AP15">
        <v>0.40476510986249387</v>
      </c>
      <c r="AQ15">
        <v>0.40531342347650445</v>
      </c>
    </row>
    <row r="16" spans="1:43" x14ac:dyDescent="0.25">
      <c r="B16" s="25" t="s">
        <v>127</v>
      </c>
      <c r="C16" s="25">
        <v>0.35980000000000001</v>
      </c>
      <c r="D16" s="25">
        <v>0.3599</v>
      </c>
      <c r="E16" s="25">
        <v>0.35959999999999998</v>
      </c>
      <c r="F16" s="25">
        <v>0.35959999999999998</v>
      </c>
      <c r="G16" s="25">
        <f t="shared" si="0"/>
        <v>0.35975000000000001</v>
      </c>
      <c r="H16" s="25">
        <f t="shared" si="1"/>
        <v>-4.7163355561294276E-3</v>
      </c>
      <c r="M16">
        <v>0.3752134550689733</v>
      </c>
      <c r="N16">
        <v>0.37419963865430439</v>
      </c>
      <c r="O16">
        <v>0.37470654686163873</v>
      </c>
      <c r="Q16">
        <v>0.37562055799748473</v>
      </c>
      <c r="R16">
        <v>0.37460564160192278</v>
      </c>
      <c r="S16">
        <v>0.37511309979970386</v>
      </c>
      <c r="U16">
        <v>0.37480612180991235</v>
      </c>
      <c r="V16">
        <v>0.37379340599848321</v>
      </c>
      <c r="W16">
        <v>0.37429976390419761</v>
      </c>
      <c r="Y16">
        <v>0.38466798928510582</v>
      </c>
      <c r="Z16">
        <v>0.38362862697955297</v>
      </c>
      <c r="AA16">
        <v>0.38414830813232947</v>
      </c>
      <c r="AC16">
        <v>0.3975402683338437</v>
      </c>
      <c r="AD16">
        <v>0.3964661254850626</v>
      </c>
      <c r="AE16">
        <v>0.39700319690945329</v>
      </c>
      <c r="AG16">
        <v>0.39193769019704289</v>
      </c>
      <c r="AH16">
        <v>0.39087868535997977</v>
      </c>
      <c r="AI16">
        <v>0.39140818777851138</v>
      </c>
      <c r="AK16">
        <v>0.40876076566524322</v>
      </c>
      <c r="AL16">
        <v>0.407656305341911</v>
      </c>
      <c r="AM16">
        <v>0.408208535503577</v>
      </c>
      <c r="AO16">
        <v>0.43265848769922405</v>
      </c>
      <c r="AP16">
        <v>0.43148945638958014</v>
      </c>
      <c r="AQ16">
        <v>0.43207397204440207</v>
      </c>
    </row>
    <row r="17" spans="2:43" x14ac:dyDescent="0.25">
      <c r="B17" s="25" t="s">
        <v>128</v>
      </c>
      <c r="C17" s="25">
        <v>0.36159999999999998</v>
      </c>
      <c r="D17" s="25">
        <v>0.36159999999999998</v>
      </c>
      <c r="E17" s="25">
        <v>0.36130000000000001</v>
      </c>
      <c r="F17" s="25">
        <v>0.36130000000000001</v>
      </c>
      <c r="G17" s="25">
        <f t="shared" si="0"/>
        <v>0.36144999999999999</v>
      </c>
      <c r="H17" s="25">
        <f t="shared" si="1"/>
        <v>-8.2999036442674699E-4</v>
      </c>
      <c r="J17" s="211" t="s">
        <v>183</v>
      </c>
      <c r="K17" s="211"/>
      <c r="L17" s="211"/>
      <c r="M17">
        <v>0.37713878628569764</v>
      </c>
      <c r="N17">
        <v>0.37611976767914346</v>
      </c>
      <c r="O17">
        <v>0.37662927698242077</v>
      </c>
      <c r="Q17">
        <v>0.37681165438248898</v>
      </c>
      <c r="R17">
        <v>0.3757935196773215</v>
      </c>
      <c r="S17">
        <v>0.37630258702990527</v>
      </c>
      <c r="U17">
        <v>0.37485121595255744</v>
      </c>
      <c r="V17">
        <v>0.37383837829799765</v>
      </c>
      <c r="W17">
        <v>0.37434479712527735</v>
      </c>
      <c r="Y17">
        <v>0.37907364828100132</v>
      </c>
      <c r="Z17">
        <v>0.37804940173066087</v>
      </c>
      <c r="AA17">
        <v>0.37856152500583096</v>
      </c>
      <c r="AC17">
        <v>0.37794123199485757</v>
      </c>
      <c r="AD17">
        <v>0.37692004520211264</v>
      </c>
      <c r="AE17">
        <v>0.37743063859848536</v>
      </c>
      <c r="AG17">
        <v>0.38523602641007415</v>
      </c>
      <c r="AH17">
        <v>0.38419512928386479</v>
      </c>
      <c r="AI17">
        <v>0.38471557784696941</v>
      </c>
      <c r="AK17">
        <v>0.39840572628284771</v>
      </c>
      <c r="AL17">
        <v>0.39732924499054062</v>
      </c>
      <c r="AM17">
        <v>0.39786748563669427</v>
      </c>
      <c r="AO17">
        <v>0.40635678900117939</v>
      </c>
      <c r="AP17">
        <v>0.40525882415653969</v>
      </c>
      <c r="AQ17">
        <v>0.40580780657885934</v>
      </c>
    </row>
    <row r="18" spans="2:43" x14ac:dyDescent="0.25">
      <c r="B18" s="25" t="s">
        <v>129</v>
      </c>
      <c r="C18" s="25">
        <v>0.3629</v>
      </c>
      <c r="D18" s="25">
        <v>0.3629</v>
      </c>
      <c r="E18" s="25">
        <v>0.36159999999999998</v>
      </c>
      <c r="F18" s="25">
        <v>0.36159999999999998</v>
      </c>
      <c r="G18" s="25">
        <f t="shared" si="0"/>
        <v>0.36224999999999996</v>
      </c>
      <c r="H18" s="25">
        <f t="shared" si="1"/>
        <v>-4.1396499022686752E-3</v>
      </c>
      <c r="M18">
        <v>0.37688751459584191</v>
      </c>
      <c r="N18">
        <v>0.37586917491846866</v>
      </c>
      <c r="O18">
        <v>0.37637834475715537</v>
      </c>
      <c r="Q18">
        <v>0.38104162700070748</v>
      </c>
      <c r="R18">
        <v>0.38001206302610413</v>
      </c>
      <c r="S18">
        <v>0.38052684501340556</v>
      </c>
      <c r="U18">
        <v>0.38543215667967673</v>
      </c>
      <c r="V18">
        <v>0.38439072961488424</v>
      </c>
      <c r="W18">
        <v>0.38491144314728065</v>
      </c>
      <c r="Y18">
        <v>0.38752310368404225</v>
      </c>
      <c r="Z18">
        <v>0.3864760269380707</v>
      </c>
      <c r="AA18">
        <v>0.38699956531105639</v>
      </c>
      <c r="AC18">
        <v>0.39409828219229981</v>
      </c>
      <c r="AD18">
        <v>0.39303343949521163</v>
      </c>
      <c r="AE18">
        <v>0.39356586084375578</v>
      </c>
      <c r="AG18">
        <v>0.39410749932302624</v>
      </c>
      <c r="AH18">
        <v>0.39304263172150494</v>
      </c>
      <c r="AI18">
        <v>0.39357506552226551</v>
      </c>
      <c r="AK18">
        <v>0.39916587803422493</v>
      </c>
      <c r="AL18">
        <v>0.39808734283283548</v>
      </c>
      <c r="AM18">
        <v>0.3986266104335302</v>
      </c>
      <c r="AO18">
        <v>0.40949176179655578</v>
      </c>
      <c r="AP18">
        <v>0.40838532634182317</v>
      </c>
      <c r="AQ18">
        <v>0.40893854406918961</v>
      </c>
    </row>
    <row r="19" spans="2:43" x14ac:dyDescent="0.25">
      <c r="B19" s="25" t="s">
        <v>130</v>
      </c>
      <c r="C19" s="25">
        <v>0.36030000000000001</v>
      </c>
      <c r="D19" s="25">
        <v>0.36320000000000002</v>
      </c>
      <c r="E19" s="25">
        <v>0.36030000000000001</v>
      </c>
      <c r="F19" s="25">
        <v>0.36309999999999998</v>
      </c>
      <c r="G19" s="25">
        <f t="shared" si="0"/>
        <v>0.36175000000000002</v>
      </c>
      <c r="H19" s="25">
        <f t="shared" si="1"/>
        <v>8.0188456784343904E-3</v>
      </c>
      <c r="M19">
        <v>0.37974943491678548</v>
      </c>
      <c r="N19">
        <v>0.37872336240957993</v>
      </c>
      <c r="O19">
        <v>0.37923639866318248</v>
      </c>
      <c r="Q19">
        <v>0.37868706600576663</v>
      </c>
      <c r="R19">
        <v>0.37766386399007956</v>
      </c>
      <c r="S19">
        <v>0.37817546499792332</v>
      </c>
      <c r="U19">
        <v>0.38392536687669415</v>
      </c>
      <c r="V19">
        <v>0.38288801111642207</v>
      </c>
      <c r="W19">
        <v>0.38340668899655805</v>
      </c>
      <c r="Y19">
        <v>0.38050445658401189</v>
      </c>
      <c r="Z19">
        <v>0.37947634402906993</v>
      </c>
      <c r="AA19">
        <v>0.37999040030654097</v>
      </c>
      <c r="AC19">
        <v>0.39358725143247758</v>
      </c>
      <c r="AD19">
        <v>0.39252378952641842</v>
      </c>
      <c r="AE19">
        <v>0.39305552047944825</v>
      </c>
      <c r="AG19">
        <v>0.37412980788418287</v>
      </c>
      <c r="AH19">
        <v>0.37311891945434178</v>
      </c>
      <c r="AI19">
        <v>0.37362436366926238</v>
      </c>
      <c r="AK19">
        <v>0.41362001650093577</v>
      </c>
      <c r="AL19">
        <v>0.41250242661576708</v>
      </c>
      <c r="AM19">
        <v>0.41306122155835157</v>
      </c>
      <c r="AO19">
        <v>0.41047544500377825</v>
      </c>
      <c r="AP19">
        <v>0.40936635166413016</v>
      </c>
      <c r="AQ19">
        <v>0.40992089833395406</v>
      </c>
    </row>
    <row r="20" spans="2:43" x14ac:dyDescent="0.25">
      <c r="B20" s="25" t="s">
        <v>131</v>
      </c>
      <c r="C20" s="25">
        <v>0.35970000000000002</v>
      </c>
      <c r="D20" s="25">
        <v>0.3609</v>
      </c>
      <c r="E20" s="25">
        <v>0.35959999999999998</v>
      </c>
      <c r="F20" s="25">
        <v>0.36020000000000002</v>
      </c>
      <c r="G20" s="25">
        <f t="shared" si="0"/>
        <v>0.36024999999999996</v>
      </c>
      <c r="H20" s="25">
        <f t="shared" si="1"/>
        <v>1.3890820402774101E-3</v>
      </c>
      <c r="M20">
        <v>0.37954237135860358</v>
      </c>
      <c r="N20">
        <v>0.37851685833142551</v>
      </c>
      <c r="O20">
        <v>0.37902961484501474</v>
      </c>
      <c r="Q20">
        <v>0.37821481364410631</v>
      </c>
      <c r="R20">
        <v>0.37719288764128511</v>
      </c>
      <c r="S20">
        <v>0.37770385064269552</v>
      </c>
      <c r="U20">
        <v>0.38208640027522028</v>
      </c>
      <c r="V20">
        <v>0.38105401335202321</v>
      </c>
      <c r="W20">
        <v>0.38157020681362164</v>
      </c>
      <c r="Y20">
        <v>0.38661106976493254</v>
      </c>
      <c r="Z20">
        <v>0.38556645730947475</v>
      </c>
      <c r="AA20">
        <v>0.38608876353720389</v>
      </c>
      <c r="AC20">
        <v>0.37804484116414711</v>
      </c>
      <c r="AD20">
        <v>0.37702337442228229</v>
      </c>
      <c r="AE20">
        <v>0.37753410779321461</v>
      </c>
      <c r="AG20">
        <v>0.37737642058386556</v>
      </c>
      <c r="AH20">
        <v>0.37635675989598694</v>
      </c>
      <c r="AI20">
        <v>0.37686659023992647</v>
      </c>
      <c r="AK20">
        <v>0.40257944588647404</v>
      </c>
      <c r="AL20">
        <v>0.40149168731882617</v>
      </c>
      <c r="AM20">
        <v>0.40203556660265005</v>
      </c>
      <c r="AO20">
        <v>0.40452770649782488</v>
      </c>
      <c r="AP20">
        <v>0.40343468378369951</v>
      </c>
      <c r="AQ20">
        <v>0.40398119514076225</v>
      </c>
    </row>
    <row r="21" spans="2:43" x14ac:dyDescent="0.25">
      <c r="B21" s="25" t="s">
        <v>132</v>
      </c>
      <c r="C21" s="25">
        <v>0.35920000000000002</v>
      </c>
      <c r="D21" s="25">
        <v>0.35970000000000002</v>
      </c>
      <c r="E21" s="25">
        <v>0.35820000000000002</v>
      </c>
      <c r="F21" s="25">
        <v>0.35970000000000002</v>
      </c>
      <c r="G21" s="25">
        <f t="shared" si="0"/>
        <v>0.35894999999999999</v>
      </c>
      <c r="H21" s="25">
        <f t="shared" si="1"/>
        <v>1.1126565821053145E-3</v>
      </c>
      <c r="M21">
        <v>0.38158761710702899</v>
      </c>
      <c r="N21">
        <v>0.38055657788220587</v>
      </c>
      <c r="O21">
        <v>0.38107209749461746</v>
      </c>
      <c r="Q21">
        <v>0.38020764910507393</v>
      </c>
      <c r="R21">
        <v>0.37918033851576</v>
      </c>
      <c r="S21">
        <v>0.37969399381041702</v>
      </c>
      <c r="U21">
        <v>0.38213636267303047</v>
      </c>
      <c r="V21">
        <v>0.38110384075281151</v>
      </c>
      <c r="W21">
        <v>0.38162010171292071</v>
      </c>
      <c r="Y21">
        <v>0.37647904586263675</v>
      </c>
      <c r="Z21">
        <v>0.37546180985652317</v>
      </c>
      <c r="AA21">
        <v>0.37597042785958007</v>
      </c>
      <c r="AC21">
        <v>0.37791367120960223</v>
      </c>
      <c r="AD21">
        <v>0.37689255888533951</v>
      </c>
      <c r="AE21">
        <v>0.37740311504747076</v>
      </c>
      <c r="AG21">
        <v>0.3878369989954405</v>
      </c>
      <c r="AH21">
        <v>0.38678907411298857</v>
      </c>
      <c r="AI21">
        <v>0.38731303655421429</v>
      </c>
      <c r="AK21">
        <v>0.3954277316189167</v>
      </c>
      <c r="AL21">
        <v>0.3943592967861177</v>
      </c>
      <c r="AM21">
        <v>0.39489351420251734</v>
      </c>
      <c r="AO21">
        <v>0.40696443316147091</v>
      </c>
      <c r="AP21">
        <v>0.40586482647905681</v>
      </c>
      <c r="AQ21">
        <v>0.40641462982026388</v>
      </c>
    </row>
    <row r="22" spans="2:43" x14ac:dyDescent="0.25">
      <c r="B22" s="25" t="s">
        <v>133</v>
      </c>
      <c r="C22" s="25">
        <v>0.3594</v>
      </c>
      <c r="D22" s="25">
        <v>0.3594</v>
      </c>
      <c r="E22" s="25">
        <v>0.35930000000000001</v>
      </c>
      <c r="F22" s="25">
        <v>0.35930000000000001</v>
      </c>
      <c r="G22" s="25">
        <f t="shared" si="0"/>
        <v>0.35935</v>
      </c>
      <c r="H22" s="25">
        <f t="shared" si="1"/>
        <v>5.5679288743600171E-4</v>
      </c>
      <c r="M22">
        <v>0.38074613186991357</v>
      </c>
      <c r="N22">
        <v>0.37971736631500969</v>
      </c>
      <c r="O22">
        <v>0.38023174909246182</v>
      </c>
      <c r="Q22">
        <v>0.37424761283074415</v>
      </c>
      <c r="R22">
        <v>0.37323640609518416</v>
      </c>
      <c r="S22">
        <v>0.3737420094629641</v>
      </c>
      <c r="U22">
        <v>0.37496915676271847</v>
      </c>
      <c r="V22">
        <v>0.37395600043534011</v>
      </c>
      <c r="W22">
        <v>0.37446257859902909</v>
      </c>
      <c r="Y22">
        <v>0.37693250333647482</v>
      </c>
      <c r="Z22">
        <v>0.37591404210076423</v>
      </c>
      <c r="AA22">
        <v>0.37642327271861964</v>
      </c>
      <c r="AC22">
        <v>0.40667588876692995</v>
      </c>
      <c r="AD22">
        <v>0.40557706172351748</v>
      </c>
      <c r="AE22">
        <v>0.40612647524522372</v>
      </c>
      <c r="AG22">
        <v>0.39349619697905885</v>
      </c>
      <c r="AH22">
        <v>0.39243298109962332</v>
      </c>
      <c r="AI22">
        <v>0.39296458903934117</v>
      </c>
      <c r="AK22">
        <v>0.38968379601488917</v>
      </c>
      <c r="AL22">
        <v>0.38863088113778865</v>
      </c>
      <c r="AM22">
        <v>0.38915733857633883</v>
      </c>
      <c r="AO22">
        <v>0.390448367461179</v>
      </c>
      <c r="AP22">
        <v>0.38939338673310236</v>
      </c>
      <c r="AQ22">
        <v>0.38992087709714068</v>
      </c>
    </row>
    <row r="23" spans="2:43" x14ac:dyDescent="0.25">
      <c r="B23" s="25" t="s">
        <v>134</v>
      </c>
      <c r="C23" s="25">
        <v>0.3614</v>
      </c>
      <c r="D23" s="25">
        <v>0.3614</v>
      </c>
      <c r="E23" s="25">
        <v>0.35909999999999997</v>
      </c>
      <c r="F23" s="25">
        <v>0.35909999999999997</v>
      </c>
      <c r="G23" s="25">
        <f t="shared" si="0"/>
        <v>0.36024999999999996</v>
      </c>
      <c r="H23" s="25">
        <f t="shared" si="1"/>
        <v>-6.3844769260910008E-3</v>
      </c>
      <c r="O23">
        <f>AVERAGE(O3:O22)</f>
        <v>0.37707727263925939</v>
      </c>
      <c r="S23">
        <f>AVERAGE(S3:S22)</f>
        <v>0.37643543041071487</v>
      </c>
      <c r="W23">
        <f>AVERAGE(W3:W22)</f>
        <v>0.38085197370347618</v>
      </c>
      <c r="AA23">
        <f>AVERAGE(AA3:AA22)</f>
        <v>0.38158980270256276</v>
      </c>
      <c r="AE23">
        <f>AVERAGE(AE3:AE22)</f>
        <v>0.38732285364460867</v>
      </c>
      <c r="AI23">
        <f>AVERAGE(AI3:AI22)</f>
        <v>0.38293258397887597</v>
      </c>
      <c r="AM23">
        <f>AVERAGE(AM3:AM22)</f>
        <v>0.3999467287789456</v>
      </c>
      <c r="AQ23">
        <f>AVERAGE(AQ3:AQ22)</f>
        <v>0.40825410740960971</v>
      </c>
    </row>
    <row r="24" spans="2:43" x14ac:dyDescent="0.25">
      <c r="B24" s="25" t="s">
        <v>135</v>
      </c>
      <c r="C24" s="25">
        <v>0.36299999999999999</v>
      </c>
      <c r="D24" s="25">
        <v>0.36349999999999999</v>
      </c>
      <c r="E24" s="25">
        <v>0.3614</v>
      </c>
      <c r="F24" s="25">
        <v>0.3614</v>
      </c>
      <c r="G24" s="25">
        <f t="shared" si="0"/>
        <v>0.36244999999999999</v>
      </c>
      <c r="H24" s="25">
        <f t="shared" si="1"/>
        <v>-4.6929002621619595E-3</v>
      </c>
      <c r="O24">
        <v>0.37707727263925939</v>
      </c>
      <c r="S24">
        <v>0.37643543041071487</v>
      </c>
      <c r="W24">
        <v>0.38085197370347618</v>
      </c>
      <c r="AA24">
        <v>0.38158980270256276</v>
      </c>
      <c r="AE24">
        <v>0.38732285364460867</v>
      </c>
      <c r="AI24">
        <v>0.38293258397887597</v>
      </c>
      <c r="AM24">
        <v>0.3999467287789456</v>
      </c>
      <c r="AQ24">
        <v>0.40825410740960971</v>
      </c>
    </row>
    <row r="25" spans="2:43" x14ac:dyDescent="0.25">
      <c r="B25" s="25" t="s">
        <v>136</v>
      </c>
      <c r="C25" s="25">
        <v>0.3624</v>
      </c>
      <c r="D25" s="25">
        <v>0.36359999999999998</v>
      </c>
      <c r="E25" s="25">
        <v>0.3624</v>
      </c>
      <c r="F25" s="25">
        <v>0.36309999999999998</v>
      </c>
      <c r="G25" s="25">
        <f t="shared" si="0"/>
        <v>0.36299999999999999</v>
      </c>
      <c r="H25" s="25">
        <f t="shared" si="1"/>
        <v>8.2656017930842981E-4</v>
      </c>
    </row>
    <row r="26" spans="2:43" x14ac:dyDescent="0.25">
      <c r="B26" s="25" t="s">
        <v>137</v>
      </c>
      <c r="C26" s="25">
        <v>0.36259999999999998</v>
      </c>
      <c r="D26" s="25">
        <v>0.3634</v>
      </c>
      <c r="E26" s="25">
        <v>0.36259999999999998</v>
      </c>
      <c r="F26" s="25">
        <v>0.36280000000000001</v>
      </c>
      <c r="G26" s="25">
        <f t="shared" si="0"/>
        <v>0.36299999999999999</v>
      </c>
      <c r="H26" s="25">
        <f t="shared" si="1"/>
        <v>1.6551727916684252E-3</v>
      </c>
      <c r="K26" t="s">
        <v>184</v>
      </c>
      <c r="L26" t="s">
        <v>185</v>
      </c>
      <c r="M26" t="s">
        <v>186</v>
      </c>
    </row>
    <row r="27" spans="2:43" x14ac:dyDescent="0.25">
      <c r="B27" s="25" t="s">
        <v>138</v>
      </c>
      <c r="C27" s="25">
        <v>0.36109999999999998</v>
      </c>
      <c r="D27" s="25">
        <v>0.36220000000000002</v>
      </c>
      <c r="E27" s="25">
        <v>0.36109999999999998</v>
      </c>
      <c r="F27" s="25">
        <v>0.36220000000000002</v>
      </c>
      <c r="G27" s="25">
        <f t="shared" si="0"/>
        <v>0.36165000000000003</v>
      </c>
      <c r="H27" s="25">
        <f t="shared" si="1"/>
        <v>3.8727572608444386E-3</v>
      </c>
      <c r="I27" s="27">
        <v>42866</v>
      </c>
      <c r="J27" s="25">
        <v>0.36004999999999998</v>
      </c>
    </row>
    <row r="28" spans="2:43" x14ac:dyDescent="0.25">
      <c r="B28" s="25" t="s">
        <v>139</v>
      </c>
      <c r="C28" s="25">
        <v>0.3594</v>
      </c>
      <c r="D28" s="25">
        <v>0.36080000000000001</v>
      </c>
      <c r="E28" s="25">
        <v>0.3594</v>
      </c>
      <c r="F28" s="25">
        <v>0.36080000000000001</v>
      </c>
      <c r="G28" s="25">
        <f t="shared" si="0"/>
        <v>0.36009999999999998</v>
      </c>
      <c r="H28" s="25">
        <f t="shared" si="1"/>
        <v>3.6096110273672339E-3</v>
      </c>
      <c r="I28" s="27">
        <v>42865</v>
      </c>
      <c r="J28" s="25">
        <v>0.36</v>
      </c>
    </row>
    <row r="29" spans="2:43" x14ac:dyDescent="0.25">
      <c r="B29" s="25" t="s">
        <v>140</v>
      </c>
      <c r="C29" s="25">
        <v>0.35970000000000002</v>
      </c>
      <c r="D29" s="25">
        <v>0.35970000000000002</v>
      </c>
      <c r="E29" s="25">
        <v>0.3594</v>
      </c>
      <c r="F29" s="25">
        <v>0.35949999999999999</v>
      </c>
      <c r="G29" s="25">
        <f t="shared" si="0"/>
        <v>0.35955000000000004</v>
      </c>
      <c r="H29" s="25">
        <f t="shared" si="1"/>
        <v>-8.3414435533145793E-4</v>
      </c>
      <c r="I29" s="27">
        <v>42864</v>
      </c>
      <c r="J29" s="25">
        <v>0.35655000000000003</v>
      </c>
    </row>
    <row r="30" spans="2:43" x14ac:dyDescent="0.25">
      <c r="B30" s="25" t="s">
        <v>141</v>
      </c>
      <c r="C30" s="25">
        <v>0.3579</v>
      </c>
      <c r="D30" s="25">
        <v>0.35980000000000001</v>
      </c>
      <c r="E30" s="25">
        <v>0.3579</v>
      </c>
      <c r="F30" s="25">
        <v>0.35980000000000001</v>
      </c>
      <c r="G30" s="25">
        <f t="shared" si="0"/>
        <v>0.35885</v>
      </c>
      <c r="H30" s="25">
        <f t="shared" si="1"/>
        <v>5.2947037444526883E-3</v>
      </c>
      <c r="I30" s="27">
        <v>42863</v>
      </c>
      <c r="J30" s="25">
        <v>0.35394999999999999</v>
      </c>
    </row>
    <row r="31" spans="2:43" x14ac:dyDescent="0.25">
      <c r="B31" s="25" t="s">
        <v>142</v>
      </c>
      <c r="C31" s="25">
        <v>0.35680000000000001</v>
      </c>
      <c r="D31" s="25">
        <v>0.3579</v>
      </c>
      <c r="E31" s="25">
        <v>0.35680000000000001</v>
      </c>
      <c r="F31" s="25">
        <v>0.3579</v>
      </c>
      <c r="G31" s="25">
        <f t="shared" si="0"/>
        <v>0.35735</v>
      </c>
      <c r="H31" s="25">
        <f t="shared" si="1"/>
        <v>4.480545160189797E-3</v>
      </c>
      <c r="I31" s="27">
        <v>42860</v>
      </c>
      <c r="J31" s="25">
        <v>0.35425000000000001</v>
      </c>
    </row>
    <row r="32" spans="2:43" x14ac:dyDescent="0.25">
      <c r="B32" s="27">
        <v>42825</v>
      </c>
      <c r="C32" s="25">
        <v>0.35620000000000002</v>
      </c>
      <c r="D32" s="25">
        <v>0.35630000000000001</v>
      </c>
      <c r="E32" s="25">
        <v>0.35599999999999998</v>
      </c>
      <c r="F32" s="25">
        <v>0.35630000000000001</v>
      </c>
      <c r="G32" s="25">
        <f t="shared" si="0"/>
        <v>0.35614999999999997</v>
      </c>
      <c r="H32" s="25">
        <f t="shared" si="1"/>
        <v>2.8070175622896303E-4</v>
      </c>
      <c r="I32" s="27">
        <v>42859</v>
      </c>
      <c r="J32" s="25">
        <v>0.35304999999999997</v>
      </c>
    </row>
    <row r="33" spans="2:14" x14ac:dyDescent="0.25">
      <c r="B33" s="27">
        <v>42824</v>
      </c>
      <c r="C33" s="25">
        <v>0.35489999999999999</v>
      </c>
      <c r="D33" s="25">
        <v>0.35620000000000002</v>
      </c>
      <c r="E33" s="25">
        <v>0.35489999999999999</v>
      </c>
      <c r="F33" s="25">
        <v>0.35620000000000002</v>
      </c>
      <c r="G33" s="25">
        <f t="shared" si="0"/>
        <v>0.35555000000000003</v>
      </c>
      <c r="H33" s="25">
        <f t="shared" si="1"/>
        <v>3.374581380145565E-3</v>
      </c>
      <c r="I33" s="27">
        <v>42858</v>
      </c>
      <c r="J33" s="25">
        <v>0.35299999999999998</v>
      </c>
    </row>
    <row r="34" spans="2:14" x14ac:dyDescent="0.25">
      <c r="B34" s="27">
        <v>42823</v>
      </c>
      <c r="C34" s="25">
        <v>0.35649999999999998</v>
      </c>
      <c r="D34" s="25">
        <v>0.35649999999999998</v>
      </c>
      <c r="E34" s="25">
        <v>0.35499999999999998</v>
      </c>
      <c r="F34" s="25">
        <v>0.35499999999999998</v>
      </c>
      <c r="G34" s="25">
        <f t="shared" si="0"/>
        <v>0.35575000000000001</v>
      </c>
      <c r="H34" s="25">
        <f t="shared" si="1"/>
        <v>-4.2164503789348037E-3</v>
      </c>
      <c r="I34" s="27">
        <v>42857</v>
      </c>
      <c r="J34" s="25">
        <v>0.35460000000000003</v>
      </c>
      <c r="K34" s="66">
        <f>AVERAGE(J34:J78)</f>
        <v>0.36593579451706781</v>
      </c>
    </row>
    <row r="35" spans="2:14" x14ac:dyDescent="0.25">
      <c r="B35" s="27">
        <v>42822</v>
      </c>
      <c r="C35" s="25">
        <v>0.35720000000000002</v>
      </c>
      <c r="D35" s="25">
        <v>0.35770000000000002</v>
      </c>
      <c r="E35" s="25">
        <v>0.35649999999999998</v>
      </c>
      <c r="F35" s="25">
        <v>0.35649999999999998</v>
      </c>
      <c r="G35" s="25">
        <f t="shared" si="0"/>
        <v>0.35709999999999997</v>
      </c>
      <c r="H35" s="25">
        <f t="shared" si="1"/>
        <v>-2.5213628709771022E-3</v>
      </c>
      <c r="I35" s="27">
        <v>42856</v>
      </c>
      <c r="J35" s="25">
        <v>0.35580000000000001</v>
      </c>
      <c r="K35" s="66">
        <f t="shared" ref="K35:K78" si="2">AVERAGE(J35:J79)</f>
        <v>0.36619342621063761</v>
      </c>
    </row>
    <row r="36" spans="2:14" x14ac:dyDescent="0.25">
      <c r="B36" s="27">
        <v>42821</v>
      </c>
      <c r="C36" s="25">
        <v>0.35659999999999997</v>
      </c>
      <c r="D36" s="25">
        <v>0.3574</v>
      </c>
      <c r="E36" s="25">
        <v>0.35659999999999997</v>
      </c>
      <c r="F36" s="25">
        <v>0.3574</v>
      </c>
      <c r="G36" s="25">
        <f t="shared" si="0"/>
        <v>0.35699999999999998</v>
      </c>
      <c r="H36" s="25">
        <f t="shared" si="1"/>
        <v>8.3974812492496477E-4</v>
      </c>
      <c r="I36" s="25" t="s">
        <v>123</v>
      </c>
      <c r="J36" s="25">
        <v>0.3569</v>
      </c>
      <c r="K36" s="66">
        <f t="shared" si="2"/>
        <v>0.36643513379693143</v>
      </c>
    </row>
    <row r="37" spans="2:14" x14ac:dyDescent="0.25">
      <c r="B37" s="27">
        <v>42818</v>
      </c>
      <c r="C37" s="25">
        <v>0.35659999999999997</v>
      </c>
      <c r="D37" s="25">
        <v>0.35720000000000002</v>
      </c>
      <c r="E37" s="25">
        <v>0.35659999999999997</v>
      </c>
      <c r="F37" s="25">
        <v>0.35709999999999997</v>
      </c>
      <c r="G37" s="25">
        <f t="shared" si="0"/>
        <v>0.3569</v>
      </c>
      <c r="H37" s="25">
        <f t="shared" si="1"/>
        <v>8.4045389454832562E-4</v>
      </c>
      <c r="I37" s="25" t="s">
        <v>124</v>
      </c>
      <c r="J37" s="25">
        <v>0.35699999999999998</v>
      </c>
      <c r="K37" s="66">
        <f t="shared" si="2"/>
        <v>0.36666216079209651</v>
      </c>
    </row>
    <row r="38" spans="2:14" x14ac:dyDescent="0.25">
      <c r="B38" s="27">
        <v>42817</v>
      </c>
      <c r="C38" s="25">
        <v>0.35470000000000002</v>
      </c>
      <c r="D38" s="25">
        <v>0.3569</v>
      </c>
      <c r="E38" s="25">
        <v>0.35470000000000002</v>
      </c>
      <c r="F38" s="25">
        <v>0.35680000000000001</v>
      </c>
      <c r="G38" s="25">
        <f t="shared" si="0"/>
        <v>0.35580000000000001</v>
      </c>
      <c r="H38" s="25">
        <f t="shared" si="1"/>
        <v>5.903038926278162E-3</v>
      </c>
      <c r="I38" s="25" t="s">
        <v>125</v>
      </c>
      <c r="J38" s="25">
        <v>0.35709999999999997</v>
      </c>
      <c r="K38" s="66">
        <f t="shared" si="2"/>
        <v>0.36689782325044035</v>
      </c>
    </row>
    <row r="39" spans="2:14" x14ac:dyDescent="0.25">
      <c r="B39" s="27">
        <v>42816</v>
      </c>
      <c r="C39" s="25">
        <v>0.35410000000000003</v>
      </c>
      <c r="D39" s="25">
        <v>0.35510000000000003</v>
      </c>
      <c r="E39" s="25">
        <v>0.35410000000000003</v>
      </c>
      <c r="F39" s="25">
        <v>0.35470000000000002</v>
      </c>
      <c r="G39" s="25">
        <f t="shared" si="0"/>
        <v>0.35460000000000003</v>
      </c>
      <c r="H39" s="25">
        <f t="shared" si="1"/>
        <v>1.6930026617181365E-3</v>
      </c>
      <c r="I39" s="25" t="s">
        <v>126</v>
      </c>
      <c r="J39" s="25">
        <v>0.35575000000000001</v>
      </c>
      <c r="K39" s="66">
        <f t="shared" si="2"/>
        <v>0.36714276883170138</v>
      </c>
      <c r="L39" s="68">
        <f>AVERAGE(J39:J78)</f>
        <v>0.36714276883170138</v>
      </c>
    </row>
    <row r="40" spans="2:14" x14ac:dyDescent="0.25">
      <c r="B40" s="27">
        <v>42815</v>
      </c>
      <c r="C40" s="25">
        <v>0.35220000000000001</v>
      </c>
      <c r="D40" s="25">
        <v>0.35410000000000003</v>
      </c>
      <c r="E40" s="25">
        <v>0.35189999999999999</v>
      </c>
      <c r="F40" s="25">
        <v>0.35410000000000003</v>
      </c>
      <c r="G40" s="25">
        <f t="shared" si="0"/>
        <v>0.35299999999999998</v>
      </c>
      <c r="H40" s="25">
        <f t="shared" si="1"/>
        <v>5.380163055752233E-3</v>
      </c>
      <c r="I40" s="25" t="s">
        <v>127</v>
      </c>
      <c r="J40" s="25">
        <v>0.35555000000000003</v>
      </c>
      <c r="K40" s="66">
        <f t="shared" si="2"/>
        <v>0.36743489110943728</v>
      </c>
      <c r="L40" s="68">
        <f t="shared" ref="L40:L78" si="3">AVERAGE(J40:J79)</f>
        <v>0.36743489110943728</v>
      </c>
    </row>
    <row r="41" spans="2:14" x14ac:dyDescent="0.25">
      <c r="B41" s="27">
        <v>42814</v>
      </c>
      <c r="C41" s="25">
        <v>0.35389999999999999</v>
      </c>
      <c r="D41" s="25">
        <v>0.35389999999999999</v>
      </c>
      <c r="E41" s="25">
        <v>0.35220000000000001</v>
      </c>
      <c r="F41" s="25">
        <v>0.35220000000000001</v>
      </c>
      <c r="G41" s="25">
        <f t="shared" si="0"/>
        <v>0.35304999999999997</v>
      </c>
      <c r="H41" s="25">
        <f t="shared" si="1"/>
        <v>-3.9671347013825907E-3</v>
      </c>
      <c r="I41" s="25" t="s">
        <v>128</v>
      </c>
      <c r="J41" s="25">
        <v>0.35614999999999997</v>
      </c>
      <c r="K41" s="66">
        <f t="shared" si="2"/>
        <v>0.36774765140179089</v>
      </c>
      <c r="L41" s="68">
        <f t="shared" si="3"/>
        <v>0.36774765140179089</v>
      </c>
    </row>
    <row r="42" spans="2:14" x14ac:dyDescent="0.25">
      <c r="B42" s="27">
        <v>42811</v>
      </c>
      <c r="C42" s="25">
        <v>0.35489999999999999</v>
      </c>
      <c r="D42" s="25">
        <v>0.35489999999999999</v>
      </c>
      <c r="E42" s="25">
        <v>0.35360000000000003</v>
      </c>
      <c r="F42" s="25">
        <v>0.35360000000000003</v>
      </c>
      <c r="G42" s="25">
        <f t="shared" si="0"/>
        <v>0.35425000000000001</v>
      </c>
      <c r="H42" s="25">
        <f t="shared" si="1"/>
        <v>-2.8240628766191289E-3</v>
      </c>
      <c r="I42" s="25" t="s">
        <v>129</v>
      </c>
      <c r="J42" s="25">
        <v>0.35735</v>
      </c>
      <c r="K42" s="66">
        <f t="shared" si="2"/>
        <v>0.36806110143967713</v>
      </c>
      <c r="L42" s="68">
        <f t="shared" si="3"/>
        <v>0.36806110143967713</v>
      </c>
    </row>
    <row r="43" spans="2:14" x14ac:dyDescent="0.25">
      <c r="B43" s="27">
        <v>42810</v>
      </c>
      <c r="C43" s="25">
        <v>0.3533</v>
      </c>
      <c r="D43" s="25">
        <v>0.35460000000000003</v>
      </c>
      <c r="E43" s="25">
        <v>0.3533</v>
      </c>
      <c r="F43" s="25">
        <v>0.35460000000000003</v>
      </c>
      <c r="G43" s="25">
        <f t="shared" si="0"/>
        <v>0.35394999999999999</v>
      </c>
      <c r="H43" s="25">
        <f t="shared" si="1"/>
        <v>3.6728392750081393E-3</v>
      </c>
      <c r="I43" s="25" t="s">
        <v>130</v>
      </c>
      <c r="J43" s="25">
        <v>0.35885</v>
      </c>
      <c r="K43" s="66">
        <f t="shared" si="2"/>
        <v>0.36835863203522373</v>
      </c>
      <c r="L43" s="68">
        <f t="shared" si="3"/>
        <v>0.36835863203522373</v>
      </c>
    </row>
    <row r="44" spans="2:14" x14ac:dyDescent="0.25">
      <c r="B44" s="27">
        <v>42809</v>
      </c>
      <c r="C44" s="25">
        <v>0.35980000000000001</v>
      </c>
      <c r="D44" s="25">
        <v>0.3599</v>
      </c>
      <c r="E44" s="25">
        <v>0.35320000000000001</v>
      </c>
      <c r="F44" s="25">
        <v>0.3533</v>
      </c>
      <c r="G44" s="25">
        <f t="shared" si="0"/>
        <v>0.35655000000000003</v>
      </c>
      <c r="H44" s="25">
        <f t="shared" si="1"/>
        <v>-1.9341878376756265E-2</v>
      </c>
      <c r="I44" s="25" t="s">
        <v>131</v>
      </c>
      <c r="J44" s="25">
        <v>0.35955000000000004</v>
      </c>
      <c r="K44" s="66">
        <f t="shared" si="2"/>
        <v>0.36863030723623008</v>
      </c>
      <c r="L44" s="68">
        <f t="shared" si="3"/>
        <v>0.36863030723623008</v>
      </c>
    </row>
    <row r="45" spans="2:14" x14ac:dyDescent="0.25">
      <c r="B45" s="27">
        <v>42808</v>
      </c>
      <c r="C45" s="25">
        <v>0.35970000000000002</v>
      </c>
      <c r="D45" s="25">
        <v>0.36030000000000001</v>
      </c>
      <c r="E45" s="25">
        <v>0.35970000000000002</v>
      </c>
      <c r="F45" s="25">
        <v>0.36020000000000002</v>
      </c>
      <c r="G45" s="25">
        <f t="shared" si="0"/>
        <v>0.36</v>
      </c>
      <c r="H45" s="25">
        <f t="shared" si="1"/>
        <v>2.2234583923971033E-3</v>
      </c>
      <c r="I45" s="25" t="s">
        <v>132</v>
      </c>
      <c r="J45" s="25">
        <v>0.36009999999999998</v>
      </c>
      <c r="K45" s="66">
        <f t="shared" si="2"/>
        <v>0.3688973750961192</v>
      </c>
      <c r="L45" s="68">
        <f t="shared" si="3"/>
        <v>0.3688973750961192</v>
      </c>
    </row>
    <row r="46" spans="2:14" x14ac:dyDescent="0.25">
      <c r="B46" s="27">
        <v>42807</v>
      </c>
      <c r="C46" s="25">
        <v>0.3609</v>
      </c>
      <c r="D46" s="25">
        <v>0.3609</v>
      </c>
      <c r="E46" s="25">
        <v>0.35920000000000002</v>
      </c>
      <c r="F46" s="25">
        <v>0.3594</v>
      </c>
      <c r="G46" s="25">
        <f t="shared" si="0"/>
        <v>0.36004999999999998</v>
      </c>
      <c r="H46" s="25" t="e">
        <f t="shared" si="1"/>
        <v>#DIV/0!</v>
      </c>
      <c r="I46" s="25" t="s">
        <v>133</v>
      </c>
      <c r="J46" s="25">
        <v>0.36165000000000003</v>
      </c>
      <c r="K46" s="66">
        <f t="shared" si="2"/>
        <v>0.369163962220244</v>
      </c>
      <c r="L46" s="68">
        <f t="shared" si="3"/>
        <v>0.369163962220244</v>
      </c>
    </row>
    <row r="47" spans="2:14" x14ac:dyDescent="0.25">
      <c r="I47" s="25" t="s">
        <v>134</v>
      </c>
      <c r="J47" s="25">
        <v>0.36299999999999999</v>
      </c>
      <c r="K47" s="66">
        <f t="shared" si="2"/>
        <v>0.36939877353962663</v>
      </c>
      <c r="L47" s="68">
        <f t="shared" si="3"/>
        <v>0.36939877353962663</v>
      </c>
      <c r="M47" s="69">
        <f>AVERAGE(L47:L78)</f>
        <v>0.37638428543816244</v>
      </c>
      <c r="N47" s="25"/>
    </row>
    <row r="48" spans="2:14" x14ac:dyDescent="0.25">
      <c r="I48" s="25" t="s">
        <v>135</v>
      </c>
      <c r="J48" s="25">
        <v>0.36299999999999999</v>
      </c>
      <c r="K48" s="66">
        <f t="shared" si="2"/>
        <v>0.36960518558929201</v>
      </c>
      <c r="L48" s="68">
        <f t="shared" si="3"/>
        <v>0.36960518558929201</v>
      </c>
      <c r="M48" s="69">
        <f t="shared" ref="M48:M78" si="4">AVERAGE(L48:L79)</f>
        <v>0.37660962453166358</v>
      </c>
      <c r="N48" s="25"/>
    </row>
    <row r="49" spans="9:14" x14ac:dyDescent="0.25">
      <c r="I49" s="25" t="s">
        <v>136</v>
      </c>
      <c r="J49" s="25">
        <v>0.36244999999999999</v>
      </c>
      <c r="K49" s="66">
        <f t="shared" si="2"/>
        <v>0.36982535844226838</v>
      </c>
      <c r="L49" s="68">
        <f t="shared" si="3"/>
        <v>0.36982535844226838</v>
      </c>
      <c r="M49" s="69">
        <f t="shared" si="4"/>
        <v>0.37684310582974262</v>
      </c>
      <c r="N49" s="25"/>
    </row>
    <row r="50" spans="9:14" x14ac:dyDescent="0.25">
      <c r="I50" s="25" t="s">
        <v>137</v>
      </c>
      <c r="J50" s="25">
        <v>0.36024999999999996</v>
      </c>
      <c r="K50" s="66">
        <f t="shared" si="2"/>
        <v>0.37007968114717421</v>
      </c>
      <c r="L50" s="68">
        <f t="shared" si="3"/>
        <v>0.37007968114717421</v>
      </c>
      <c r="M50" s="69">
        <f t="shared" si="4"/>
        <v>0.37708509711896587</v>
      </c>
      <c r="N50" s="25"/>
    </row>
    <row r="51" spans="9:14" x14ac:dyDescent="0.25">
      <c r="I51" s="25" t="s">
        <v>138</v>
      </c>
      <c r="J51" s="25">
        <v>0.35935</v>
      </c>
      <c r="K51" s="66">
        <f t="shared" si="2"/>
        <v>0.37043074118814462</v>
      </c>
      <c r="L51" s="68">
        <f t="shared" si="3"/>
        <v>0.37043074118814462</v>
      </c>
      <c r="M51" s="69">
        <f t="shared" si="4"/>
        <v>0.37733529054652987</v>
      </c>
      <c r="N51" s="25"/>
    </row>
    <row r="52" spans="9:14" x14ac:dyDescent="0.25">
      <c r="I52" s="25" t="s">
        <v>139</v>
      </c>
      <c r="J52" s="25">
        <v>0.35894999999999999</v>
      </c>
      <c r="K52" s="66">
        <f t="shared" si="2"/>
        <v>0.37084113900992782</v>
      </c>
      <c r="L52" s="68">
        <f t="shared" si="3"/>
        <v>0.37084113900992782</v>
      </c>
      <c r="M52" s="69">
        <f t="shared" si="4"/>
        <v>0.37759101459684041</v>
      </c>
      <c r="N52" s="25"/>
    </row>
    <row r="53" spans="9:14" x14ac:dyDescent="0.25">
      <c r="I53" s="25" t="s">
        <v>140</v>
      </c>
      <c r="J53" s="25">
        <v>0.36024999999999996</v>
      </c>
      <c r="K53" s="66">
        <f t="shared" si="2"/>
        <v>0.37129849051030966</v>
      </c>
      <c r="L53" s="68">
        <f t="shared" si="3"/>
        <v>0.37129849051030966</v>
      </c>
      <c r="M53" s="69">
        <f t="shared" si="4"/>
        <v>0.377850625196337</v>
      </c>
      <c r="N53" s="25"/>
    </row>
    <row r="54" spans="9:14" x14ac:dyDescent="0.25">
      <c r="I54" s="25" t="s">
        <v>141</v>
      </c>
      <c r="J54" s="25">
        <v>0.36175000000000002</v>
      </c>
      <c r="K54" s="66">
        <f t="shared" si="2"/>
        <v>0.371740430130722</v>
      </c>
      <c r="L54" s="68">
        <f t="shared" si="3"/>
        <v>0.371740430130722</v>
      </c>
      <c r="M54" s="69">
        <f t="shared" si="4"/>
        <v>0.3781127105837781</v>
      </c>
      <c r="N54" s="25"/>
    </row>
    <row r="55" spans="9:14" x14ac:dyDescent="0.25">
      <c r="I55" s="25" t="s">
        <v>142</v>
      </c>
      <c r="J55" s="25">
        <v>0.36224999999999996</v>
      </c>
      <c r="K55" s="66">
        <f t="shared" si="2"/>
        <v>0.37215669805283547</v>
      </c>
      <c r="L55" s="68">
        <f t="shared" si="3"/>
        <v>0.37215669805283547</v>
      </c>
      <c r="M55" s="69">
        <f t="shared" si="4"/>
        <v>0.37837822226932216</v>
      </c>
      <c r="N55" s="25"/>
    </row>
    <row r="56" spans="9:14" x14ac:dyDescent="0.25">
      <c r="I56" s="27">
        <v>42825</v>
      </c>
      <c r="J56" s="25">
        <v>0.36144999999999999</v>
      </c>
      <c r="K56" s="66">
        <f t="shared" si="2"/>
        <v>0.37258742405513268</v>
      </c>
      <c r="L56" s="68">
        <f t="shared" si="3"/>
        <v>0.37258742405513268</v>
      </c>
      <c r="M56" s="69">
        <f t="shared" si="4"/>
        <v>0.37864872332221289</v>
      </c>
      <c r="N56" s="25"/>
    </row>
    <row r="57" spans="9:14" x14ac:dyDescent="0.25">
      <c r="I57" s="27">
        <v>42824</v>
      </c>
      <c r="J57" s="25">
        <v>0.35975000000000001</v>
      </c>
      <c r="K57" s="66">
        <f t="shared" si="2"/>
        <v>0.37309367060309329</v>
      </c>
      <c r="L57" s="68">
        <f t="shared" si="3"/>
        <v>0.37309367060309329</v>
      </c>
      <c r="M57" s="69">
        <f t="shared" si="4"/>
        <v>0.37892423692526206</v>
      </c>
      <c r="N57" s="25"/>
    </row>
    <row r="58" spans="9:14" x14ac:dyDescent="0.25">
      <c r="I58" s="27">
        <v>42823</v>
      </c>
      <c r="J58" s="25">
        <v>0.36044999999999999</v>
      </c>
      <c r="K58" s="66">
        <f t="shared" si="2"/>
        <v>0.37372908348895489</v>
      </c>
      <c r="L58" s="68">
        <f t="shared" si="3"/>
        <v>0.37372908348895489</v>
      </c>
      <c r="M58" s="69">
        <f t="shared" si="4"/>
        <v>0.37920188294060342</v>
      </c>
      <c r="N58" s="25"/>
    </row>
    <row r="59" spans="9:14" x14ac:dyDescent="0.25">
      <c r="I59" s="27">
        <v>42822</v>
      </c>
      <c r="J59" s="25">
        <v>0.36420000000000002</v>
      </c>
      <c r="K59" s="66">
        <f t="shared" si="2"/>
        <v>0.37439303766340265</v>
      </c>
      <c r="L59" s="68">
        <f t="shared" si="3"/>
        <v>0.37439303766340265</v>
      </c>
      <c r="M59" s="69">
        <f t="shared" si="4"/>
        <v>0.37947552291318581</v>
      </c>
      <c r="N59" s="25"/>
    </row>
    <row r="60" spans="9:14" x14ac:dyDescent="0.25">
      <c r="I60" s="27">
        <v>42821</v>
      </c>
      <c r="J60" s="25">
        <v>0.36424999999999996</v>
      </c>
      <c r="K60" s="66">
        <f t="shared" si="2"/>
        <v>0.37492951332989749</v>
      </c>
      <c r="L60" s="68">
        <f t="shared" si="3"/>
        <v>0.37492951332989749</v>
      </c>
      <c r="M60" s="69">
        <f t="shared" si="4"/>
        <v>0.37974302213685868</v>
      </c>
      <c r="N60" s="25"/>
    </row>
    <row r="61" spans="9:14" x14ac:dyDescent="0.25">
      <c r="I61" s="27">
        <v>42818</v>
      </c>
      <c r="J61" s="25">
        <v>0.36455000000000004</v>
      </c>
      <c r="K61" s="66">
        <f t="shared" si="2"/>
        <v>0.37552281962600298</v>
      </c>
      <c r="L61" s="68">
        <f t="shared" si="3"/>
        <v>0.37552281962600298</v>
      </c>
      <c r="M61" s="69">
        <f t="shared" si="4"/>
        <v>0.38001043929280098</v>
      </c>
      <c r="N61" s="25"/>
    </row>
    <row r="62" spans="9:14" x14ac:dyDescent="0.25">
      <c r="I62" s="27">
        <v>42817</v>
      </c>
      <c r="J62" s="25">
        <v>0.36270000000000002</v>
      </c>
      <c r="K62" s="66">
        <f t="shared" si="2"/>
        <v>0.37616827960400318</v>
      </c>
      <c r="L62" s="68">
        <f t="shared" si="3"/>
        <v>0.37616827960400318</v>
      </c>
      <c r="M62" s="69">
        <f t="shared" si="4"/>
        <v>0.38027441692025971</v>
      </c>
      <c r="N62" s="25"/>
    </row>
    <row r="63" spans="9:14" x14ac:dyDescent="0.25">
      <c r="I63" s="27">
        <v>42816</v>
      </c>
      <c r="J63" s="25">
        <v>0.36170000000000002</v>
      </c>
      <c r="K63" s="66">
        <f t="shared" si="2"/>
        <v>0.37701004707925334</v>
      </c>
      <c r="L63" s="68">
        <f t="shared" si="3"/>
        <v>0.37701004707925334</v>
      </c>
      <c r="M63" s="69">
        <f t="shared" si="4"/>
        <v>0.38053105050252573</v>
      </c>
      <c r="N63" s="25"/>
    </row>
    <row r="64" spans="9:14" x14ac:dyDescent="0.25">
      <c r="I64" s="27">
        <v>42815</v>
      </c>
      <c r="J64" s="25">
        <v>0.36395</v>
      </c>
      <c r="K64" s="66">
        <f t="shared" si="2"/>
        <v>0.37803071688453688</v>
      </c>
      <c r="L64" s="68">
        <f t="shared" si="3"/>
        <v>0.37803071688453688</v>
      </c>
      <c r="M64" s="69">
        <f t="shared" si="4"/>
        <v>0.38076578406407718</v>
      </c>
      <c r="N64" s="25"/>
    </row>
    <row r="65" spans="9:14" x14ac:dyDescent="0.25">
      <c r="I65" s="27">
        <v>42814</v>
      </c>
      <c r="J65" s="25">
        <v>0.36745</v>
      </c>
      <c r="K65" s="66">
        <f t="shared" si="2"/>
        <v>0.37903648237628956</v>
      </c>
      <c r="L65" s="68">
        <f t="shared" si="3"/>
        <v>0.37903648237628956</v>
      </c>
      <c r="M65" s="69">
        <f t="shared" si="4"/>
        <v>0.38096114600547298</v>
      </c>
      <c r="N65" s="25"/>
    </row>
    <row r="66" spans="9:14" x14ac:dyDescent="0.25">
      <c r="I66" s="27">
        <v>42811</v>
      </c>
      <c r="J66" s="25">
        <v>0.36785000000000001</v>
      </c>
      <c r="K66" s="66">
        <f t="shared" si="2"/>
        <v>0.3799277502513887</v>
      </c>
      <c r="L66" s="68">
        <f t="shared" si="3"/>
        <v>0.3799277502513887</v>
      </c>
      <c r="M66" s="69">
        <f t="shared" si="4"/>
        <v>0.38110919705387164</v>
      </c>
      <c r="N66" s="25"/>
    </row>
    <row r="67" spans="9:14" x14ac:dyDescent="0.25">
      <c r="I67" s="27">
        <v>42810</v>
      </c>
      <c r="J67" s="25">
        <v>0.3679</v>
      </c>
      <c r="K67" s="66">
        <f t="shared" si="2"/>
        <v>0.3809342294390044</v>
      </c>
      <c r="L67" s="68">
        <f t="shared" si="3"/>
        <v>0.3809342294390044</v>
      </c>
      <c r="M67" s="69">
        <f t="shared" si="4"/>
        <v>0.38120765095407849</v>
      </c>
      <c r="N67" s="25"/>
    </row>
    <row r="68" spans="9:14" x14ac:dyDescent="0.25">
      <c r="I68" s="27">
        <v>42809</v>
      </c>
      <c r="J68" s="25">
        <v>0.36955000000000005</v>
      </c>
      <c r="K68" s="66">
        <f t="shared" si="2"/>
        <v>0.38211915938800484</v>
      </c>
      <c r="L68" s="68">
        <f t="shared" si="3"/>
        <v>0.38211915938800484</v>
      </c>
      <c r="M68" s="69">
        <f t="shared" si="4"/>
        <v>0.38123250745544884</v>
      </c>
      <c r="N68" s="25"/>
    </row>
    <row r="69" spans="9:14" x14ac:dyDescent="0.25">
      <c r="I69" s="27">
        <v>42808</v>
      </c>
      <c r="J69" s="25">
        <v>0.36975000000000002</v>
      </c>
      <c r="K69" s="66">
        <f t="shared" si="2"/>
        <v>0.38337607532680529</v>
      </c>
      <c r="L69" s="68">
        <f t="shared" si="3"/>
        <v>0.38337607532680529</v>
      </c>
      <c r="M69" s="69">
        <f t="shared" si="4"/>
        <v>0.38114384226219328</v>
      </c>
      <c r="N69" s="25"/>
    </row>
    <row r="70" spans="9:14" x14ac:dyDescent="0.25">
      <c r="I70" s="27">
        <v>42807</v>
      </c>
      <c r="J70" s="25">
        <v>0.36959999999999998</v>
      </c>
      <c r="K70" s="66">
        <f t="shared" si="2"/>
        <v>0.38489008369645039</v>
      </c>
      <c r="L70" s="68">
        <f t="shared" si="3"/>
        <v>0.38489008369645039</v>
      </c>
      <c r="M70" s="69">
        <f t="shared" si="4"/>
        <v>0.38089581636612535</v>
      </c>
      <c r="N70" s="25"/>
    </row>
    <row r="71" spans="9:14" x14ac:dyDescent="0.25">
      <c r="I71" s="25"/>
      <c r="J71" s="67">
        <v>0.40825410740960971</v>
      </c>
      <c r="K71" s="66">
        <f t="shared" si="2"/>
        <v>0.3868013441585067</v>
      </c>
      <c r="L71" s="68">
        <f t="shared" si="3"/>
        <v>0.3868013441585067</v>
      </c>
      <c r="M71" s="69">
        <f t="shared" si="4"/>
        <v>0.38039653294983466</v>
      </c>
    </row>
    <row r="72" spans="9:14" x14ac:dyDescent="0.25">
      <c r="I72" s="25"/>
      <c r="J72" s="67">
        <v>0.3999467287789456</v>
      </c>
      <c r="K72" s="66">
        <f t="shared" si="2"/>
        <v>0.3837366636940634</v>
      </c>
      <c r="L72" s="68">
        <f t="shared" si="3"/>
        <v>0.3837366636940634</v>
      </c>
      <c r="M72" s="69">
        <f t="shared" si="4"/>
        <v>0.37948155992002441</v>
      </c>
    </row>
    <row r="73" spans="9:14" x14ac:dyDescent="0.25">
      <c r="I73" s="25"/>
      <c r="J73" s="67">
        <v>0.38293258397887597</v>
      </c>
      <c r="K73" s="66">
        <f t="shared" si="2"/>
        <v>0.38103498617991632</v>
      </c>
      <c r="L73" s="68">
        <f t="shared" si="3"/>
        <v>0.38103498617991632</v>
      </c>
      <c r="M73" s="69">
        <f t="shared" si="4"/>
        <v>0.37877237595768459</v>
      </c>
    </row>
    <row r="74" spans="9:14" x14ac:dyDescent="0.25">
      <c r="I74" s="25"/>
      <c r="J74" s="67">
        <v>0.38732285364460867</v>
      </c>
      <c r="K74" s="66">
        <f t="shared" si="2"/>
        <v>0.38065546662012439</v>
      </c>
      <c r="L74" s="68">
        <f t="shared" si="3"/>
        <v>0.38065546662012439</v>
      </c>
      <c r="M74" s="69">
        <f t="shared" si="4"/>
        <v>0.37831985391323819</v>
      </c>
    </row>
    <row r="75" spans="9:14" x14ac:dyDescent="0.25">
      <c r="I75" s="25"/>
      <c r="J75" s="67">
        <v>0.38158980270256276</v>
      </c>
      <c r="K75" s="66">
        <f t="shared" si="2"/>
        <v>0.37898861986400334</v>
      </c>
      <c r="L75" s="68">
        <f t="shared" si="3"/>
        <v>0.37898861986400334</v>
      </c>
      <c r="M75" s="69">
        <f t="shared" si="4"/>
        <v>0.37773595073651667</v>
      </c>
    </row>
    <row r="76" spans="9:14" x14ac:dyDescent="0.25">
      <c r="I76" s="25"/>
      <c r="J76" s="67">
        <v>0.38085197370347618</v>
      </c>
      <c r="K76" s="66">
        <f t="shared" si="2"/>
        <v>0.37812155891781679</v>
      </c>
      <c r="L76" s="68">
        <f t="shared" si="3"/>
        <v>0.37812155891781679</v>
      </c>
      <c r="M76" s="69">
        <f t="shared" si="4"/>
        <v>0.37731839436068776</v>
      </c>
    </row>
    <row r="77" spans="9:14" x14ac:dyDescent="0.25">
      <c r="I77" s="25"/>
      <c r="J77" s="67">
        <v>0.37643543041071487</v>
      </c>
      <c r="K77" s="66">
        <f t="shared" si="2"/>
        <v>0.3767563515249871</v>
      </c>
      <c r="L77" s="68">
        <f t="shared" si="3"/>
        <v>0.3767563515249871</v>
      </c>
      <c r="M77" s="69">
        <f t="shared" si="4"/>
        <v>0.37691681208212324</v>
      </c>
    </row>
    <row r="78" spans="9:14" x14ac:dyDescent="0.25">
      <c r="I78" s="25"/>
      <c r="J78" s="67">
        <v>0.37707727263925939</v>
      </c>
      <c r="K78" s="66">
        <f t="shared" si="2"/>
        <v>0.37707727263925939</v>
      </c>
      <c r="L78" s="68">
        <f t="shared" si="3"/>
        <v>0.37707727263925939</v>
      </c>
      <c r="M78" s="69">
        <f t="shared" si="4"/>
        <v>0.37707727263925939</v>
      </c>
    </row>
  </sheetData>
  <sortState ref="I27:J78">
    <sortCondition descending="1" ref="I27"/>
  </sortState>
  <mergeCells count="3">
    <mergeCell ref="I4:J4"/>
    <mergeCell ref="I5:J5"/>
    <mergeCell ref="J17:L17"/>
  </mergeCells>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r:id="rId4">
            <anchor moveWithCells="1">
              <from>
                <xdr:col>8</xdr:col>
                <xdr:colOff>19050</xdr:colOff>
                <xdr:row>7</xdr:row>
                <xdr:rowOff>133350</xdr:rowOff>
              </from>
              <to>
                <xdr:col>10</xdr:col>
                <xdr:colOff>66675</xdr:colOff>
                <xdr:row>13</xdr:row>
                <xdr:rowOff>123825</xdr:rowOff>
              </to>
            </anchor>
          </controlPr>
        </control>
      </mc:Choice>
      <mc:Fallback>
        <control shapeId="7169"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Listar Archivos</vt:lpstr>
      <vt:lpstr>Awesome Oscillator</vt:lpstr>
      <vt:lpstr>Accelerator Oscillator</vt:lpstr>
      <vt:lpstr>AO, AC Cálculos</vt:lpstr>
      <vt:lpstr>Alligator</vt:lpstr>
      <vt:lpstr>Cálculos Alligator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Sergio</dc:creator>
  <cp:lastModifiedBy>Sergio</cp:lastModifiedBy>
  <dcterms:created xsi:type="dcterms:W3CDTF">2017-05-16T05:27:28Z</dcterms:created>
  <dcterms:modified xsi:type="dcterms:W3CDTF">2017-05-19T23:11:41Z</dcterms:modified>
</cp:coreProperties>
</file>